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HP\Documents\"/>
    </mc:Choice>
  </mc:AlternateContent>
  <xr:revisionPtr revIDLastSave="0" documentId="13_ncr:1_{E63261FB-851B-4647-9A80-C7EACE418858}" xr6:coauthVersionLast="47" xr6:coauthVersionMax="47" xr10:uidLastSave="{00000000-0000-0000-0000-000000000000}"/>
  <bookViews>
    <workbookView xWindow="-110" yWindow="-110" windowWidth="19420" windowHeight="11020" activeTab="2" xr2:uid="{2D8FFA41-3821-4442-A24B-CF1B1F10FFC6}"/>
  </bookViews>
  <sheets>
    <sheet name="Pivot Table" sheetId="15" r:id="rId1"/>
    <sheet name="Arsenal Transfers " sheetId="2" r:id="rId2"/>
    <sheet name="Dashboard" sheetId="16" r:id="rId3"/>
    <sheet name="FIFA Country code" sheetId="3" r:id="rId4"/>
  </sheets>
  <definedNames>
    <definedName name="Slicer_Positions">#N/A</definedName>
  </definedNames>
  <calcPr calcId="191029"/>
  <pivotCaches>
    <pivotCache cacheId="3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 2  2_179942a4-daee-45a4-b454-f13eb73a288d" name="Table 2  2" connection="Query - Table 2 (2)"/>
          <x15:modelTable id="Table 70_de70a841-5ede-4184-91b9-6c0a11d512e7" name="Table 70" connection="Query - Table 7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E0FE95-1204-4617-ACB5-537B8209A9C3}" keepAlive="1" name="Query - Table 2" description="Connection to the 'Table 2' query in the workbook." type="5" refreshedVersion="0" background="1">
    <dbPr connection="Provider=Microsoft.Mashup.OleDb.1;Data Source=$Workbook$;Location=&quot;Table 2&quot;;Extended Properties=&quot;&quot;" command="SELECT * FROM [Table 2]"/>
  </connection>
  <connection id="2" xr16:uid="{0680A4EE-F3F2-4473-8551-8C2E238BB1EE}" name="Query - Table 2 (2)" description="Connection to the 'Table 2 (2)' query in the workbook." type="100" refreshedVersion="8" minRefreshableVersion="5">
    <extLst>
      <ext xmlns:x15="http://schemas.microsoft.com/office/spreadsheetml/2010/11/main" uri="{DE250136-89BD-433C-8126-D09CA5730AF9}">
        <x15:connection id="c15ebf84-1de7-481d-9fae-5ae4ccf06957"/>
      </ext>
    </extLst>
  </connection>
  <connection id="3" xr16:uid="{6A57A9D9-FFE2-4FA1-A48A-1C1AA0DA0424}" keepAlive="1" name="Query - Table 3" description="Connection to the 'Table 3' query in the workbook." type="5" refreshedVersion="0" background="1">
    <dbPr connection="Provider=Microsoft.Mashup.OleDb.1;Data Source=$Workbook$;Location=&quot;Table 3&quot;;Extended Properties=&quot;&quot;" command="SELECT * FROM [Table 3]"/>
  </connection>
  <connection id="4" xr16:uid="{0607360B-AB3D-4FAF-8D66-5D8C22D7436E}" keepAlive="1" name="Query - Table 3 (2)" description="Connection to the 'Table 3 (2)' query in the workbook." type="5" refreshedVersion="8" background="1" saveData="1">
    <dbPr connection="Provider=Microsoft.Mashup.OleDb.1;Data Source=$Workbook$;Location=&quot;Table 3 (2)&quot;;Extended Properties=&quot;&quot;" command="SELECT * FROM [Table 3 (2)]"/>
  </connection>
  <connection id="5" xr16:uid="{78F04C28-54D1-4B81-B939-40621A3B81C4}" name="Query - Table 70" description="Connection to the 'Table 70' query in the workbook." type="100" refreshedVersion="8" minRefreshableVersion="5">
    <extLst>
      <ext xmlns:x15="http://schemas.microsoft.com/office/spreadsheetml/2010/11/main" uri="{DE250136-89BD-433C-8126-D09CA5730AF9}">
        <x15:connection id="d419576c-f2e3-49bb-bb91-14031648adf1"/>
      </ext>
    </extLst>
  </connection>
  <connection id="6" xr16:uid="{B277AA30-DBFE-4949-929F-F2CA430E7E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<sst xmlns="http://schemas.openxmlformats.org/spreadsheetml/2006/main" count="222" uniqueCount="102">
  <si>
    <t>Goalkeepers</t>
  </si>
  <si>
    <t>ESP</t>
  </si>
  <si>
    <t>Tommy Setford</t>
  </si>
  <si>
    <t>ENG</t>
  </si>
  <si>
    <t>Defenders</t>
  </si>
  <si>
    <t>FRA</t>
  </si>
  <si>
    <t>ECU</t>
  </si>
  <si>
    <t>BRA</t>
  </si>
  <si>
    <t>Jurriën Timber</t>
  </si>
  <si>
    <t>NED</t>
  </si>
  <si>
    <t>Riccardo Calafiori</t>
  </si>
  <si>
    <t>ITA</t>
  </si>
  <si>
    <t>Midfielders</t>
  </si>
  <si>
    <t>NOR</t>
  </si>
  <si>
    <t>DEN</t>
  </si>
  <si>
    <t>Mikel Merino</t>
  </si>
  <si>
    <t>Forwards</t>
  </si>
  <si>
    <t>Gabriel Jesus</t>
  </si>
  <si>
    <t>SWE</t>
  </si>
  <si>
    <t>Leandro Trossard</t>
  </si>
  <si>
    <t>BEL</t>
  </si>
  <si>
    <t>Kai Havertz</t>
  </si>
  <si>
    <t>GER</t>
  </si>
  <si>
    <t>Jakub Kiwior</t>
  </si>
  <si>
    <t>POL</t>
  </si>
  <si>
    <t>Fábio Vieira</t>
  </si>
  <si>
    <t>POR</t>
  </si>
  <si>
    <t>EST</t>
  </si>
  <si>
    <t>Players</t>
  </si>
  <si>
    <t>David Raya</t>
  </si>
  <si>
    <t>Kepa Arrizabalaga</t>
  </si>
  <si>
    <t>William Saliba</t>
  </si>
  <si>
    <t>Cristhian Mosquera</t>
  </si>
  <si>
    <t>Ben White</t>
  </si>
  <si>
    <t>Piero Hincapié</t>
  </si>
  <si>
    <t>Gabriel Magalhães</t>
  </si>
  <si>
    <t>Myles Lewis-Skelly</t>
  </si>
  <si>
    <t>Martin Ødegaard</t>
  </si>
  <si>
    <t>Eberechi Eze</t>
  </si>
  <si>
    <t>Christian Nørgaard</t>
  </si>
  <si>
    <t>Martín Zubimendi</t>
  </si>
  <si>
    <t>Declan Rice</t>
  </si>
  <si>
    <t>Bukayo Saka</t>
  </si>
  <si>
    <t>Gabriel Martinelli</t>
  </si>
  <si>
    <t>Viktor Gyökeres</t>
  </si>
  <si>
    <t>Noni Madueke</t>
  </si>
  <si>
    <t>Max Dowman^</t>
  </si>
  <si>
    <t>Ethan Nwaneri†</t>
  </si>
  <si>
    <t>Reiss Nelson</t>
  </si>
  <si>
    <t>Karl Hein</t>
  </si>
  <si>
    <t>Nationality</t>
  </si>
  <si>
    <t>Belgium</t>
  </si>
  <si>
    <t>Brazil</t>
  </si>
  <si>
    <t>Denmark</t>
  </si>
  <si>
    <t>Code</t>
  </si>
  <si>
    <t>Country</t>
  </si>
  <si>
    <t>Ecuador</t>
  </si>
  <si>
    <t>England</t>
  </si>
  <si>
    <t>Spain</t>
  </si>
  <si>
    <t>Estonia</t>
  </si>
  <si>
    <t>France</t>
  </si>
  <si>
    <t>Germany</t>
  </si>
  <si>
    <t>Italy</t>
  </si>
  <si>
    <t>Netherlands</t>
  </si>
  <si>
    <t>Norway</t>
  </si>
  <si>
    <t>Poland</t>
  </si>
  <si>
    <t>Portugal</t>
  </si>
  <si>
    <t>Sweden</t>
  </si>
  <si>
    <t>Nationaity</t>
  </si>
  <si>
    <t>Positions</t>
  </si>
  <si>
    <t>Age</t>
  </si>
  <si>
    <t>£3.0m</t>
  </si>
  <si>
    <t>£5.0m</t>
  </si>
  <si>
    <t>£0.8m</t>
  </si>
  <si>
    <t>£27.0m</t>
  </si>
  <si>
    <t>£13.0m</t>
  </si>
  <si>
    <t>£50.0m</t>
  </si>
  <si>
    <t>Undisclosed</t>
  </si>
  <si>
    <t>£23.1m</t>
  </si>
  <si>
    <t>£34.3m</t>
  </si>
  <si>
    <t>£33.6m</t>
  </si>
  <si>
    <t>£1.8m</t>
  </si>
  <si>
    <t>£60.0m</t>
  </si>
  <si>
    <t>£10.0m</t>
  </si>
  <si>
    <t>£27.4m</t>
  </si>
  <si>
    <t>£55.8m</t>
  </si>
  <si>
    <t>£100.0m</t>
  </si>
  <si>
    <t>£45.0m</t>
  </si>
  <si>
    <t>£6.0m</t>
  </si>
  <si>
    <t>£55.0m</t>
  </si>
  <si>
    <t>£21.0m</t>
  </si>
  <si>
    <t>£48.5m</t>
  </si>
  <si>
    <t>£62.0m</t>
  </si>
  <si>
    <t>£17.6m</t>
  </si>
  <si>
    <t>£29.9m</t>
  </si>
  <si>
    <t>Grand Total</t>
  </si>
  <si>
    <t xml:space="preserve">Transfer Fee </t>
  </si>
  <si>
    <t>Transfer Fee Text</t>
  </si>
  <si>
    <t xml:space="preserve">Sum of Transfer Fee </t>
  </si>
  <si>
    <t>Count of Players</t>
  </si>
  <si>
    <t>Average of Age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</si>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</sst>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_-[$£-809]* #,##0.00_-;\-[$£-809]* #,##0.00_-;_-[$£-809]* &quot;-&quot;??_-;_-@_-"/>
  </numFmts>
  <fonts count="6" x14ac:knownFonts="1">
    <font>
      <sz val="11"/>
      <color theme="1"/>
      <name val="Aptos Narrow"/>
      <family val="2"/>
      <scheme val="minor"/>
    </font>
    <font>
      <u/>
      <sz val="11"/>
      <color theme="10"/>
      <name val="Aptos Narrow"/>
      <family val="2"/>
      <scheme val="minor"/>
    </font>
    <font>
      <sz val="11"/>
      <color rgb="FF104861"/>
      <name val="Aptos Narrow"/>
      <family val="2"/>
      <scheme val="minor"/>
    </font>
    <font>
      <sz val="11"/>
      <color rgb="FF023474"/>
      <name val="Aptos Narrow"/>
      <family val="2"/>
      <scheme val="minor"/>
    </font>
    <font>
      <b/>
      <sz val="14.4"/>
      <color rgb="FF000000"/>
      <name val="Aptos"/>
      <family val="2"/>
    </font>
    <font>
      <sz val="18"/>
      <color theme="1"/>
      <name val="Aptos Narrow"/>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0" fillId="0" borderId="0" xfId="0" applyNumberFormat="1"/>
    <xf numFmtId="0" fontId="0" fillId="0" borderId="0" xfId="0" pivotButton="1"/>
    <xf numFmtId="0" fontId="0" fillId="0" borderId="0" xfId="0" applyAlignment="1">
      <alignment horizontal="left"/>
    </xf>
    <xf numFmtId="0" fontId="2" fillId="0" borderId="0" xfId="0" applyFont="1"/>
    <xf numFmtId="167" fontId="0" fillId="0" borderId="0" xfId="0" applyNumberFormat="1"/>
    <xf numFmtId="1" fontId="0" fillId="0" borderId="0" xfId="0" applyNumberFormat="1"/>
    <xf numFmtId="0" fontId="3" fillId="2" borderId="0" xfId="0" applyFont="1" applyFill="1"/>
    <xf numFmtId="2" fontId="0" fillId="0" borderId="0" xfId="0" pivotButton="1" applyNumberFormat="1"/>
    <xf numFmtId="2" fontId="0" fillId="0" borderId="0" xfId="0" applyNumberFormat="1" applyAlignment="1">
      <alignment horizontal="left"/>
    </xf>
    <xf numFmtId="0" fontId="4" fillId="0" borderId="0" xfId="0" applyFont="1" applyAlignment="1">
      <alignment horizontal="center" vertical="center" readingOrder="1"/>
    </xf>
    <xf numFmtId="0" fontId="1" fillId="0" borderId="0" xfId="1"/>
    <xf numFmtId="0" fontId="5" fillId="0" borderId="0" xfId="0" applyFont="1"/>
  </cellXfs>
  <cellStyles count="2">
    <cellStyle name="Hyperlink" xfId="1" builtinId="8"/>
    <cellStyle name="Normal" xfId="0" builtinId="0"/>
  </cellStyles>
  <dxfs count="12">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67" formatCode="_-[$£-809]* #,##0.00_-;\-[$£-809]* #,##0.00_-;_-[$£-809]* &quot;-&quot;??_-;_-@_-"/>
    </dxf>
    <dxf>
      <numFmt numFmtId="167" formatCode="_-[$£-809]* #,##0.00_-;\-[$£-809]* #,##0.00_-;_-[$£-809]* &quot;-&quot;??_-;_-@_-"/>
    </dxf>
    <dxf>
      <font>
        <strike val="0"/>
        <outline val="0"/>
        <shadow val="0"/>
        <u val="none"/>
        <vertAlign val="baseline"/>
        <sz val="11"/>
        <color rgb="FF023474"/>
        <name val="Aptos Narrow"/>
        <family val="2"/>
        <scheme val="minor"/>
      </font>
      <fill>
        <patternFill patternType="solid">
          <fgColor indexed="64"/>
          <bgColor rgb="FFFF0000"/>
        </patternFill>
      </fill>
    </dxf>
    <dxf>
      <numFmt numFmtId="0" formatCode="General"/>
    </dxf>
  </dxfs>
  <tableStyles count="0" defaultTableStyle="TableStyleMedium2" defaultPivotStyle="PivotStyleLight16"/>
  <colors>
    <mruColors>
      <color rgb="FF063672"/>
      <color rgb="FFB0971C"/>
      <color rgb="FFEF0107"/>
      <color rgb="FF023474"/>
      <color rgb="FFDB0007"/>
      <color rgb="FF9C824A"/>
      <color rgb="FFFFF8F7"/>
      <color rgb="FF1048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[Juliana_Igboin_WK4.xlsx]Pivot Table!Count Of Players</c:name>
    <c:fmtId val="4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rgbClr val="063672"/>
                </a:solidFill>
                <a:effectLst/>
              </a:rPr>
              <a:t>English Players make up the largest signed at the Arsenal 25/26 Transfers</a:t>
            </a:r>
            <a:r>
              <a:rPr lang="en-US" sz="1600" b="1" i="0" u="none" strike="noStrike" baseline="0">
                <a:solidFill>
                  <a:srgbClr val="023474"/>
                </a:solidFill>
                <a:effectLst/>
              </a:rPr>
              <a:t> </a:t>
            </a:r>
            <a:endParaRPr lang="en-US" sz="1600" b="1">
              <a:solidFill>
                <a:srgbClr val="023474"/>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ln>
                    <a:solidFill>
                      <a:srgbClr val="023474"/>
                    </a:solidFill>
                  </a:ln>
                  <a:solidFill>
                    <a:schemeClr val="bg1"/>
                  </a:solidFill>
                  <a:latin typeface="Aptos" panose="020B00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0">
                <a:schemeClr val="tx1"/>
              </a:gs>
              <a:gs pos="62000">
                <a:srgbClr val="DB0007"/>
              </a:gs>
              <a:gs pos="100000">
                <a:srgbClr val="FFFF00"/>
              </a:gs>
            </a:gsLst>
            <a:lin ang="5400000" scaled="1"/>
          </a:gradFill>
          <a:ln w="19050">
            <a:solidFill>
              <a:schemeClr val="lt1"/>
            </a:solidFill>
          </a:ln>
          <a:effectLst/>
        </c:spPr>
      </c:pivotFmt>
      <c:pivotFmt>
        <c:idx val="19"/>
        <c:spPr>
          <a:gradFill>
            <a:gsLst>
              <a:gs pos="0">
                <a:srgbClr val="00B050"/>
              </a:gs>
              <a:gs pos="76000">
                <a:srgbClr val="023474"/>
              </a:gs>
              <a:gs pos="45000">
                <a:srgbClr val="FFFF00"/>
              </a:gs>
            </a:gsLst>
            <a:lin ang="5400000" scaled="1"/>
          </a:gradFill>
          <a:ln w="19050">
            <a:solidFill>
              <a:schemeClr val="lt1"/>
            </a:solidFill>
          </a:ln>
          <a:effectLst/>
        </c:spPr>
      </c:pivotFmt>
      <c:pivotFmt>
        <c:idx val="20"/>
        <c:spPr>
          <a:gradFill>
            <a:gsLst>
              <a:gs pos="0">
                <a:srgbClr val="EF0107"/>
              </a:gs>
              <a:gs pos="75000">
                <a:schemeClr val="bg1"/>
              </a:gs>
            </a:gsLst>
            <a:lin ang="5400000" scaled="1"/>
          </a:gradFill>
          <a:ln w="19050">
            <a:solidFill>
              <a:schemeClr val="lt1"/>
            </a:solidFill>
          </a:ln>
          <a:effectLst/>
        </c:spPr>
      </c:pivotFmt>
      <c:pivotFmt>
        <c:idx val="21"/>
        <c:spPr>
          <a:gradFill>
            <a:gsLst>
              <a:gs pos="52000">
                <a:srgbClr val="023474"/>
              </a:gs>
              <a:gs pos="21000">
                <a:srgbClr val="FFFF00"/>
              </a:gs>
              <a:gs pos="75000">
                <a:srgbClr val="DB0007"/>
              </a:gs>
            </a:gsLst>
            <a:lin ang="5400000" scaled="1"/>
          </a:gradFill>
          <a:ln w="19050">
            <a:solidFill>
              <a:schemeClr val="lt1"/>
            </a:solidFill>
          </a:ln>
          <a:effectLst/>
        </c:spPr>
      </c:pivotFmt>
      <c:pivotFmt>
        <c:idx val="22"/>
        <c:spPr>
          <a:gradFill>
            <a:gsLst>
              <a:gs pos="21000">
                <a:schemeClr val="bg1">
                  <a:lumMod val="95000"/>
                </a:schemeClr>
              </a:gs>
              <a:gs pos="75000">
                <a:srgbClr val="DB0007"/>
              </a:gs>
            </a:gsLst>
            <a:lin ang="5400000" scaled="1"/>
          </a:gradFill>
          <a:ln w="19050">
            <a:solidFill>
              <a:schemeClr val="lt1"/>
            </a:solidFill>
          </a:ln>
          <a:effectLst/>
        </c:spPr>
      </c:pivotFmt>
      <c:pivotFmt>
        <c:idx val="23"/>
        <c:spPr>
          <a:gradFill>
            <a:gsLst>
              <a:gs pos="21240">
                <a:srgbClr val="275187"/>
              </a:gs>
              <a:gs pos="89000">
                <a:schemeClr val="bg1">
                  <a:lumMod val="95000"/>
                </a:schemeClr>
              </a:gs>
              <a:gs pos="9000">
                <a:srgbClr val="023474"/>
              </a:gs>
            </a:gsLst>
            <a:lin ang="5400000" scaled="1"/>
          </a:gradFill>
          <a:ln w="19050">
            <a:solidFill>
              <a:schemeClr val="lt1"/>
            </a:solidFill>
          </a:ln>
          <a:effectLst/>
        </c:spPr>
      </c:pivotFmt>
      <c:pivotFmt>
        <c:idx val="24"/>
        <c:spPr>
          <a:gradFill>
            <a:gsLst>
              <a:gs pos="22000">
                <a:srgbClr val="EF0107"/>
              </a:gs>
              <a:gs pos="49000">
                <a:schemeClr val="bg1">
                  <a:lumMod val="95000"/>
                </a:schemeClr>
              </a:gs>
              <a:gs pos="83000">
                <a:srgbClr val="023474"/>
              </a:gs>
            </a:gsLst>
            <a:lin ang="5400000" scaled="1"/>
          </a:gradFill>
          <a:ln w="19050">
            <a:solidFill>
              <a:schemeClr val="lt1"/>
            </a:solidFill>
          </a:ln>
          <a:effectLst/>
        </c:spPr>
      </c:pivotFmt>
      <c:pivotFmt>
        <c:idx val="25"/>
        <c:spPr>
          <a:gradFill>
            <a:gsLst>
              <a:gs pos="0">
                <a:schemeClr val="tx1"/>
              </a:gs>
              <a:gs pos="43000">
                <a:srgbClr val="FF0000"/>
              </a:gs>
              <a:gs pos="83000">
                <a:srgbClr val="FFFF00"/>
              </a:gs>
            </a:gsLst>
            <a:lin ang="5400000" scaled="1"/>
          </a:gradFill>
          <a:ln w="19050">
            <a:solidFill>
              <a:schemeClr val="tx1"/>
            </a:solidFill>
          </a:ln>
          <a:effectLst/>
        </c:spPr>
      </c:pivotFmt>
      <c:pivotFmt>
        <c:idx val="26"/>
        <c:spPr>
          <a:gradFill>
            <a:gsLst>
              <a:gs pos="70000">
                <a:srgbClr val="FF0000"/>
              </a:gs>
              <a:gs pos="31000">
                <a:schemeClr val="bg1"/>
              </a:gs>
              <a:gs pos="0">
                <a:srgbClr val="00B050"/>
              </a:gs>
            </a:gsLst>
            <a:lin ang="5400000" scaled="1"/>
          </a:gradFill>
          <a:ln w="19050">
            <a:solidFill>
              <a:schemeClr val="lt1"/>
            </a:solidFill>
          </a:ln>
          <a:effectLst/>
        </c:spPr>
      </c:pivotFmt>
      <c:pivotFmt>
        <c:idx val="27"/>
        <c:spPr>
          <a:gradFill>
            <a:gsLst>
              <a:gs pos="70000">
                <a:srgbClr val="023474"/>
              </a:gs>
              <a:gs pos="31000">
                <a:schemeClr val="bg1"/>
              </a:gs>
              <a:gs pos="0">
                <a:srgbClr val="EF0107"/>
              </a:gs>
            </a:gsLst>
            <a:lin ang="5400000" scaled="1"/>
          </a:gradFill>
          <a:ln w="19050">
            <a:solidFill>
              <a:schemeClr val="lt1"/>
            </a:solidFill>
          </a:ln>
          <a:effectLst/>
        </c:spPr>
      </c:pivotFmt>
      <c:pivotFmt>
        <c:idx val="28"/>
        <c:spPr>
          <a:gradFill>
            <a:gsLst>
              <a:gs pos="48000">
                <a:srgbClr val="023474"/>
              </a:gs>
              <a:gs pos="80000">
                <a:schemeClr val="bg1"/>
              </a:gs>
              <a:gs pos="17000">
                <a:srgbClr val="EF0107"/>
              </a:gs>
            </a:gsLst>
            <a:lin ang="5400000" scaled="1"/>
          </a:gradFill>
          <a:ln w="19050">
            <a:solidFill>
              <a:schemeClr val="lt1"/>
            </a:solidFill>
          </a:ln>
          <a:effectLst/>
        </c:spPr>
      </c:pivotFmt>
      <c:pivotFmt>
        <c:idx val="29"/>
        <c:spPr>
          <a:gradFill>
            <a:gsLst>
              <a:gs pos="26000">
                <a:schemeClr val="bg1"/>
              </a:gs>
              <a:gs pos="83000">
                <a:srgbClr val="EF0107"/>
              </a:gs>
            </a:gsLst>
            <a:lin ang="5400000" scaled="1"/>
          </a:gradFill>
          <a:ln w="19050">
            <a:solidFill>
              <a:schemeClr val="lt1"/>
            </a:solidFill>
          </a:ln>
          <a:effectLst/>
        </c:spPr>
      </c:pivotFmt>
      <c:pivotFmt>
        <c:idx val="30"/>
        <c:spPr>
          <a:gradFill>
            <a:gsLst>
              <a:gs pos="31000">
                <a:srgbClr val="00B050"/>
              </a:gs>
              <a:gs pos="83000">
                <a:srgbClr val="EF0107"/>
              </a:gs>
            </a:gsLst>
            <a:lin ang="5400000" scaled="1"/>
          </a:gradFill>
          <a:ln w="19050">
            <a:solidFill>
              <a:schemeClr val="lt1"/>
            </a:solidFill>
          </a:ln>
          <a:effectLst/>
        </c:spPr>
      </c:pivotFmt>
      <c:pivotFmt>
        <c:idx val="31"/>
        <c:spPr>
          <a:gradFill>
            <a:gsLst>
              <a:gs pos="0">
                <a:srgbClr val="DB0007"/>
              </a:gs>
              <a:gs pos="21267">
                <a:srgbClr val="EA6A04"/>
              </a:gs>
              <a:gs pos="51000">
                <a:srgbClr val="FFFF00"/>
              </a:gs>
              <a:gs pos="83000">
                <a:srgbClr val="EF0107"/>
              </a:gs>
            </a:gsLst>
            <a:lin ang="5400000" scaled="1"/>
          </a:gradFill>
          <a:ln w="19050">
            <a:solidFill>
              <a:schemeClr val="tx1"/>
            </a:solidFill>
          </a:ln>
          <a:effectLst/>
        </c:spPr>
      </c:pivotFmt>
      <c:pivotFmt>
        <c:idx val="32"/>
        <c:spPr>
          <a:gradFill>
            <a:gsLst>
              <a:gs pos="49000">
                <a:srgbClr val="FFFF00"/>
              </a:gs>
              <a:gs pos="65000">
                <a:srgbClr val="023474"/>
              </a:gs>
            </a:gsLst>
            <a:lin ang="5400000" scaled="1"/>
          </a:gradFill>
          <a:ln w="19050">
            <a:solidFill>
              <a:schemeClr val="lt1"/>
            </a:solidFill>
          </a:ln>
          <a:effectLst/>
        </c:spPr>
      </c:pivotFmt>
    </c:pivotFmts>
    <c:plotArea>
      <c:layout>
        <c:manualLayout>
          <c:layoutTarget val="inner"/>
          <c:xMode val="edge"/>
          <c:yMode val="edge"/>
          <c:x val="6.1267730216588892E-2"/>
          <c:y val="0.10813683956280405"/>
          <c:w val="0.92984754031599026"/>
          <c:h val="0.89003945240509752"/>
        </c:manualLayout>
      </c:layout>
      <c:barChart>
        <c:barDir val="bar"/>
        <c:grouping val="stacked"/>
        <c:varyColors val="0"/>
        <c:ser>
          <c:idx val="0"/>
          <c:order val="0"/>
          <c:tx>
            <c:strRef>
              <c:f>'Pivot Table'!$E$3</c:f>
              <c:strCache>
                <c:ptCount val="1"/>
                <c:pt idx="0">
                  <c:v>Total</c:v>
                </c:pt>
              </c:strCache>
            </c:strRef>
          </c:tx>
          <c:spPr>
            <a:solidFill>
              <a:schemeClr val="accent1"/>
            </a:solidFill>
            <a:ln w="19050">
              <a:solidFill>
                <a:schemeClr val="lt1"/>
              </a:solidFill>
            </a:ln>
            <a:effectLst/>
          </c:spPr>
          <c:invertIfNegative val="0"/>
          <c:dPt>
            <c:idx val="0"/>
            <c:invertIfNegative val="0"/>
            <c:bubble3D val="0"/>
            <c:spPr>
              <a:gradFill>
                <a:gsLst>
                  <a:gs pos="0">
                    <a:schemeClr val="tx1"/>
                  </a:gs>
                  <a:gs pos="62000">
                    <a:srgbClr val="DB0007"/>
                  </a:gs>
                  <a:gs pos="100000">
                    <a:srgbClr val="FFFF00"/>
                  </a:gs>
                </a:gsLst>
                <a:lin ang="5400000" scaled="1"/>
              </a:gradFill>
              <a:ln w="19050">
                <a:solidFill>
                  <a:schemeClr val="lt1"/>
                </a:solidFill>
              </a:ln>
              <a:effectLst/>
            </c:spPr>
            <c:extLst>
              <c:ext xmlns:c16="http://schemas.microsoft.com/office/drawing/2014/chart" uri="{C3380CC4-5D6E-409C-BE32-E72D297353CC}">
                <c16:uniqueId val="{00000001-50AF-4491-BABB-A553E0DC3048}"/>
              </c:ext>
            </c:extLst>
          </c:dPt>
          <c:dPt>
            <c:idx val="1"/>
            <c:invertIfNegative val="0"/>
            <c:bubble3D val="0"/>
            <c:spPr>
              <a:gradFill>
                <a:gsLst>
                  <a:gs pos="0">
                    <a:srgbClr val="00B050"/>
                  </a:gs>
                  <a:gs pos="76000">
                    <a:srgbClr val="023474"/>
                  </a:gs>
                  <a:gs pos="45000">
                    <a:srgbClr val="FFFF00"/>
                  </a:gs>
                </a:gsLst>
                <a:lin ang="5400000" scaled="1"/>
              </a:gradFill>
              <a:ln w="19050">
                <a:solidFill>
                  <a:schemeClr val="lt1"/>
                </a:solidFill>
              </a:ln>
              <a:effectLst/>
            </c:spPr>
            <c:extLst>
              <c:ext xmlns:c16="http://schemas.microsoft.com/office/drawing/2014/chart" uri="{C3380CC4-5D6E-409C-BE32-E72D297353CC}">
                <c16:uniqueId val="{00000003-50AF-4491-BABB-A553E0DC3048}"/>
              </c:ext>
            </c:extLst>
          </c:dPt>
          <c:dPt>
            <c:idx val="2"/>
            <c:invertIfNegative val="0"/>
            <c:bubble3D val="0"/>
            <c:spPr>
              <a:gradFill>
                <a:gsLst>
                  <a:gs pos="0">
                    <a:srgbClr val="EF0107"/>
                  </a:gs>
                  <a:gs pos="75000">
                    <a:schemeClr val="bg1"/>
                  </a:gs>
                </a:gsLst>
                <a:lin ang="5400000" scaled="1"/>
              </a:gradFill>
              <a:ln w="19050">
                <a:solidFill>
                  <a:schemeClr val="lt1"/>
                </a:solidFill>
              </a:ln>
              <a:effectLst/>
            </c:spPr>
            <c:extLst>
              <c:ext xmlns:c16="http://schemas.microsoft.com/office/drawing/2014/chart" uri="{C3380CC4-5D6E-409C-BE32-E72D297353CC}">
                <c16:uniqueId val="{00000005-50AF-4491-BABB-A553E0DC3048}"/>
              </c:ext>
            </c:extLst>
          </c:dPt>
          <c:dPt>
            <c:idx val="3"/>
            <c:invertIfNegative val="0"/>
            <c:bubble3D val="0"/>
            <c:spPr>
              <a:gradFill>
                <a:gsLst>
                  <a:gs pos="52000">
                    <a:srgbClr val="023474"/>
                  </a:gs>
                  <a:gs pos="21000">
                    <a:srgbClr val="FFFF00"/>
                  </a:gs>
                  <a:gs pos="75000">
                    <a:srgbClr val="DB0007"/>
                  </a:gs>
                </a:gsLst>
                <a:lin ang="5400000" scaled="1"/>
              </a:gradFill>
              <a:ln w="19050">
                <a:solidFill>
                  <a:schemeClr val="lt1"/>
                </a:solidFill>
              </a:ln>
              <a:effectLst/>
            </c:spPr>
            <c:extLst>
              <c:ext xmlns:c16="http://schemas.microsoft.com/office/drawing/2014/chart" uri="{C3380CC4-5D6E-409C-BE32-E72D297353CC}">
                <c16:uniqueId val="{00000007-50AF-4491-BABB-A553E0DC3048}"/>
              </c:ext>
            </c:extLst>
          </c:dPt>
          <c:dPt>
            <c:idx val="4"/>
            <c:invertIfNegative val="0"/>
            <c:bubble3D val="0"/>
            <c:spPr>
              <a:gradFill>
                <a:gsLst>
                  <a:gs pos="21000">
                    <a:schemeClr val="bg1">
                      <a:lumMod val="95000"/>
                    </a:schemeClr>
                  </a:gs>
                  <a:gs pos="75000">
                    <a:srgbClr val="DB0007"/>
                  </a:gs>
                </a:gsLst>
                <a:lin ang="5400000" scaled="1"/>
              </a:gradFill>
              <a:ln w="19050">
                <a:solidFill>
                  <a:schemeClr val="lt1"/>
                </a:solidFill>
              </a:ln>
              <a:effectLst/>
            </c:spPr>
            <c:extLst>
              <c:ext xmlns:c16="http://schemas.microsoft.com/office/drawing/2014/chart" uri="{C3380CC4-5D6E-409C-BE32-E72D297353CC}">
                <c16:uniqueId val="{00000009-50AF-4491-BABB-A553E0DC3048}"/>
              </c:ext>
            </c:extLst>
          </c:dPt>
          <c:dPt>
            <c:idx val="5"/>
            <c:invertIfNegative val="0"/>
            <c:bubble3D val="0"/>
            <c:spPr>
              <a:gradFill>
                <a:gsLst>
                  <a:gs pos="21240">
                    <a:srgbClr val="275187"/>
                  </a:gs>
                  <a:gs pos="89000">
                    <a:schemeClr val="bg1">
                      <a:lumMod val="95000"/>
                    </a:schemeClr>
                  </a:gs>
                  <a:gs pos="9000">
                    <a:srgbClr val="023474"/>
                  </a:gs>
                </a:gsLst>
                <a:lin ang="5400000" scaled="1"/>
              </a:gradFill>
              <a:ln w="19050">
                <a:solidFill>
                  <a:schemeClr val="lt1"/>
                </a:solidFill>
              </a:ln>
              <a:effectLst/>
            </c:spPr>
            <c:extLst>
              <c:ext xmlns:c16="http://schemas.microsoft.com/office/drawing/2014/chart" uri="{C3380CC4-5D6E-409C-BE32-E72D297353CC}">
                <c16:uniqueId val="{0000000B-50AF-4491-BABB-A553E0DC3048}"/>
              </c:ext>
            </c:extLst>
          </c:dPt>
          <c:dPt>
            <c:idx val="6"/>
            <c:invertIfNegative val="0"/>
            <c:bubble3D val="0"/>
            <c:spPr>
              <a:gradFill>
                <a:gsLst>
                  <a:gs pos="22000">
                    <a:srgbClr val="EF0107"/>
                  </a:gs>
                  <a:gs pos="49000">
                    <a:schemeClr val="bg1">
                      <a:lumMod val="95000"/>
                    </a:schemeClr>
                  </a:gs>
                  <a:gs pos="83000">
                    <a:srgbClr val="023474"/>
                  </a:gs>
                </a:gsLst>
                <a:lin ang="5400000" scaled="1"/>
              </a:gradFill>
              <a:ln w="19050">
                <a:solidFill>
                  <a:schemeClr val="lt1"/>
                </a:solidFill>
              </a:ln>
              <a:effectLst/>
            </c:spPr>
            <c:extLst>
              <c:ext xmlns:c16="http://schemas.microsoft.com/office/drawing/2014/chart" uri="{C3380CC4-5D6E-409C-BE32-E72D297353CC}">
                <c16:uniqueId val="{0000000D-50AF-4491-BABB-A553E0DC3048}"/>
              </c:ext>
            </c:extLst>
          </c:dPt>
          <c:dPt>
            <c:idx val="7"/>
            <c:invertIfNegative val="0"/>
            <c:bubble3D val="0"/>
            <c:spPr>
              <a:gradFill>
                <a:gsLst>
                  <a:gs pos="0">
                    <a:schemeClr val="tx1"/>
                  </a:gs>
                  <a:gs pos="43000">
                    <a:srgbClr val="FF0000"/>
                  </a:gs>
                  <a:gs pos="83000">
                    <a:srgbClr val="FFFF00"/>
                  </a:gs>
                </a:gsLst>
                <a:lin ang="5400000" scaled="1"/>
              </a:gradFill>
              <a:ln w="19050">
                <a:solidFill>
                  <a:schemeClr val="tx1"/>
                </a:solidFill>
              </a:ln>
              <a:effectLst/>
            </c:spPr>
            <c:extLst>
              <c:ext xmlns:c16="http://schemas.microsoft.com/office/drawing/2014/chart" uri="{C3380CC4-5D6E-409C-BE32-E72D297353CC}">
                <c16:uniqueId val="{0000000F-50AF-4491-BABB-A553E0DC3048}"/>
              </c:ext>
            </c:extLst>
          </c:dPt>
          <c:dPt>
            <c:idx val="8"/>
            <c:invertIfNegative val="0"/>
            <c:bubble3D val="0"/>
            <c:spPr>
              <a:gradFill>
                <a:gsLst>
                  <a:gs pos="70000">
                    <a:srgbClr val="FF0000"/>
                  </a:gs>
                  <a:gs pos="31000">
                    <a:schemeClr val="bg1"/>
                  </a:gs>
                  <a:gs pos="0">
                    <a:srgbClr val="00B050"/>
                  </a:gs>
                </a:gsLst>
                <a:lin ang="5400000" scaled="1"/>
              </a:gradFill>
              <a:ln w="19050">
                <a:solidFill>
                  <a:schemeClr val="lt1"/>
                </a:solidFill>
              </a:ln>
              <a:effectLst/>
            </c:spPr>
            <c:extLst>
              <c:ext xmlns:c16="http://schemas.microsoft.com/office/drawing/2014/chart" uri="{C3380CC4-5D6E-409C-BE32-E72D297353CC}">
                <c16:uniqueId val="{00000011-50AF-4491-BABB-A553E0DC3048}"/>
              </c:ext>
            </c:extLst>
          </c:dPt>
          <c:dPt>
            <c:idx val="9"/>
            <c:invertIfNegative val="0"/>
            <c:bubble3D val="0"/>
            <c:spPr>
              <a:gradFill>
                <a:gsLst>
                  <a:gs pos="70000">
                    <a:srgbClr val="023474"/>
                  </a:gs>
                  <a:gs pos="31000">
                    <a:schemeClr val="bg1"/>
                  </a:gs>
                  <a:gs pos="0">
                    <a:srgbClr val="EF0107"/>
                  </a:gs>
                </a:gsLst>
                <a:lin ang="5400000" scaled="1"/>
              </a:gradFill>
              <a:ln w="19050">
                <a:solidFill>
                  <a:schemeClr val="lt1"/>
                </a:solidFill>
              </a:ln>
              <a:effectLst/>
            </c:spPr>
            <c:extLst>
              <c:ext xmlns:c16="http://schemas.microsoft.com/office/drawing/2014/chart" uri="{C3380CC4-5D6E-409C-BE32-E72D297353CC}">
                <c16:uniqueId val="{00000013-50AF-4491-BABB-A553E0DC3048}"/>
              </c:ext>
            </c:extLst>
          </c:dPt>
          <c:dPt>
            <c:idx val="10"/>
            <c:invertIfNegative val="0"/>
            <c:bubble3D val="0"/>
            <c:spPr>
              <a:gradFill>
                <a:gsLst>
                  <a:gs pos="48000">
                    <a:srgbClr val="023474"/>
                  </a:gs>
                  <a:gs pos="80000">
                    <a:schemeClr val="bg1"/>
                  </a:gs>
                  <a:gs pos="17000">
                    <a:srgbClr val="EF0107"/>
                  </a:gs>
                </a:gsLst>
                <a:lin ang="5400000" scaled="1"/>
              </a:gradFill>
              <a:ln w="19050">
                <a:solidFill>
                  <a:schemeClr val="lt1"/>
                </a:solidFill>
              </a:ln>
              <a:effectLst/>
            </c:spPr>
            <c:extLst>
              <c:ext xmlns:c16="http://schemas.microsoft.com/office/drawing/2014/chart" uri="{C3380CC4-5D6E-409C-BE32-E72D297353CC}">
                <c16:uniqueId val="{00000015-50AF-4491-BABB-A553E0DC3048}"/>
              </c:ext>
            </c:extLst>
          </c:dPt>
          <c:dPt>
            <c:idx val="11"/>
            <c:invertIfNegative val="0"/>
            <c:bubble3D val="0"/>
            <c:spPr>
              <a:gradFill>
                <a:gsLst>
                  <a:gs pos="26000">
                    <a:schemeClr val="bg1"/>
                  </a:gs>
                  <a:gs pos="83000">
                    <a:srgbClr val="EF0107"/>
                  </a:gs>
                </a:gsLst>
                <a:lin ang="5400000" scaled="1"/>
              </a:gradFill>
              <a:ln w="19050">
                <a:solidFill>
                  <a:schemeClr val="lt1"/>
                </a:solidFill>
              </a:ln>
              <a:effectLst/>
            </c:spPr>
            <c:extLst>
              <c:ext xmlns:c16="http://schemas.microsoft.com/office/drawing/2014/chart" uri="{C3380CC4-5D6E-409C-BE32-E72D297353CC}">
                <c16:uniqueId val="{00000017-50AF-4491-BABB-A553E0DC3048}"/>
              </c:ext>
            </c:extLst>
          </c:dPt>
          <c:dPt>
            <c:idx val="12"/>
            <c:invertIfNegative val="0"/>
            <c:bubble3D val="0"/>
            <c:spPr>
              <a:gradFill>
                <a:gsLst>
                  <a:gs pos="31000">
                    <a:srgbClr val="00B050"/>
                  </a:gs>
                  <a:gs pos="83000">
                    <a:srgbClr val="EF0107"/>
                  </a:gs>
                </a:gsLst>
                <a:lin ang="5400000" scaled="1"/>
              </a:gradFill>
              <a:ln w="19050">
                <a:solidFill>
                  <a:schemeClr val="lt1"/>
                </a:solidFill>
              </a:ln>
              <a:effectLst/>
            </c:spPr>
            <c:extLst>
              <c:ext xmlns:c16="http://schemas.microsoft.com/office/drawing/2014/chart" uri="{C3380CC4-5D6E-409C-BE32-E72D297353CC}">
                <c16:uniqueId val="{00000019-50AF-4491-BABB-A553E0DC3048}"/>
              </c:ext>
            </c:extLst>
          </c:dPt>
          <c:dPt>
            <c:idx val="13"/>
            <c:invertIfNegative val="0"/>
            <c:bubble3D val="0"/>
            <c:spPr>
              <a:gradFill>
                <a:gsLst>
                  <a:gs pos="0">
                    <a:srgbClr val="DB0007"/>
                  </a:gs>
                  <a:gs pos="21267">
                    <a:srgbClr val="EA6A04"/>
                  </a:gs>
                  <a:gs pos="51000">
                    <a:srgbClr val="FFFF00"/>
                  </a:gs>
                  <a:gs pos="83000">
                    <a:srgbClr val="EF0107"/>
                  </a:gs>
                </a:gsLst>
                <a:lin ang="5400000" scaled="1"/>
              </a:gradFill>
              <a:ln w="19050">
                <a:solidFill>
                  <a:schemeClr val="tx1"/>
                </a:solidFill>
              </a:ln>
              <a:effectLst/>
            </c:spPr>
            <c:extLst>
              <c:ext xmlns:c16="http://schemas.microsoft.com/office/drawing/2014/chart" uri="{C3380CC4-5D6E-409C-BE32-E72D297353CC}">
                <c16:uniqueId val="{0000001B-50AF-4491-BABB-A553E0DC3048}"/>
              </c:ext>
            </c:extLst>
          </c:dPt>
          <c:dPt>
            <c:idx val="14"/>
            <c:invertIfNegative val="0"/>
            <c:bubble3D val="0"/>
            <c:spPr>
              <a:gradFill>
                <a:gsLst>
                  <a:gs pos="49000">
                    <a:srgbClr val="FFFF00"/>
                  </a:gs>
                  <a:gs pos="65000">
                    <a:srgbClr val="023474"/>
                  </a:gs>
                </a:gsLst>
                <a:lin ang="5400000" scaled="1"/>
              </a:gradFill>
              <a:ln w="19050">
                <a:solidFill>
                  <a:schemeClr val="lt1"/>
                </a:solidFill>
              </a:ln>
              <a:effectLst/>
            </c:spPr>
            <c:extLst>
              <c:ext xmlns:c16="http://schemas.microsoft.com/office/drawing/2014/chart" uri="{C3380CC4-5D6E-409C-BE32-E72D297353CC}">
                <c16:uniqueId val="{0000001D-50AF-4491-BABB-A553E0DC3048}"/>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ln>
                      <a:solidFill>
                        <a:srgbClr val="023474"/>
                      </a:solidFill>
                    </a:ln>
                    <a:solidFill>
                      <a:schemeClr val="bg1"/>
                    </a:solidFill>
                    <a:latin typeface="Aptos" panose="020B00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Table'!$D$4:$D$19</c:f>
              <c:strCache>
                <c:ptCount val="15"/>
                <c:pt idx="0">
                  <c:v>Belgium</c:v>
                </c:pt>
                <c:pt idx="1">
                  <c:v>Brazil</c:v>
                </c:pt>
                <c:pt idx="2">
                  <c:v>Denmark</c:v>
                </c:pt>
                <c:pt idx="3">
                  <c:v>Ecuador</c:v>
                </c:pt>
                <c:pt idx="4">
                  <c:v>England</c:v>
                </c:pt>
                <c:pt idx="5">
                  <c:v>Estonia</c:v>
                </c:pt>
                <c:pt idx="6">
                  <c:v>France</c:v>
                </c:pt>
                <c:pt idx="7">
                  <c:v>Germany</c:v>
                </c:pt>
                <c:pt idx="8">
                  <c:v>Italy</c:v>
                </c:pt>
                <c:pt idx="9">
                  <c:v>Netherlands</c:v>
                </c:pt>
                <c:pt idx="10">
                  <c:v>Norway</c:v>
                </c:pt>
                <c:pt idx="11">
                  <c:v>Poland</c:v>
                </c:pt>
                <c:pt idx="12">
                  <c:v>Portugal</c:v>
                </c:pt>
                <c:pt idx="13">
                  <c:v>Spain</c:v>
                </c:pt>
                <c:pt idx="14">
                  <c:v>Sweden</c:v>
                </c:pt>
              </c:strCache>
            </c:strRef>
          </c:cat>
          <c:val>
            <c:numRef>
              <c:f>'Pivot Table'!$E$4:$E$19</c:f>
              <c:numCache>
                <c:formatCode>0</c:formatCode>
                <c:ptCount val="15"/>
                <c:pt idx="0">
                  <c:v>1</c:v>
                </c:pt>
                <c:pt idx="1">
                  <c:v>3</c:v>
                </c:pt>
                <c:pt idx="2">
                  <c:v>1</c:v>
                </c:pt>
                <c:pt idx="3">
                  <c:v>1</c:v>
                </c:pt>
                <c:pt idx="4">
                  <c:v>10</c:v>
                </c:pt>
                <c:pt idx="5">
                  <c:v>1</c:v>
                </c:pt>
                <c:pt idx="6">
                  <c:v>1</c:v>
                </c:pt>
                <c:pt idx="7">
                  <c:v>1</c:v>
                </c:pt>
                <c:pt idx="8">
                  <c:v>1</c:v>
                </c:pt>
                <c:pt idx="9">
                  <c:v>1</c:v>
                </c:pt>
                <c:pt idx="10">
                  <c:v>1</c:v>
                </c:pt>
                <c:pt idx="11">
                  <c:v>1</c:v>
                </c:pt>
                <c:pt idx="12">
                  <c:v>1</c:v>
                </c:pt>
                <c:pt idx="13">
                  <c:v>5</c:v>
                </c:pt>
                <c:pt idx="14">
                  <c:v>1</c:v>
                </c:pt>
              </c:numCache>
            </c:numRef>
          </c:val>
          <c:extLst>
            <c:ext xmlns:c16="http://schemas.microsoft.com/office/drawing/2014/chart" uri="{C3380CC4-5D6E-409C-BE32-E72D297353CC}">
              <c16:uniqueId val="{00000020-50AF-4491-BABB-A553E0DC3048}"/>
            </c:ext>
          </c:extLst>
        </c:ser>
        <c:dLbls>
          <c:dLblPos val="inEnd"/>
          <c:showLegendKey val="0"/>
          <c:showVal val="1"/>
          <c:showCatName val="0"/>
          <c:showSerName val="0"/>
          <c:showPercent val="0"/>
          <c:showBubbleSize val="0"/>
        </c:dLbls>
        <c:gapWidth val="15"/>
        <c:overlap val="100"/>
        <c:serLines>
          <c:spPr>
            <a:ln w="9525" cap="flat" cmpd="sng" algn="ctr">
              <a:solidFill>
                <a:schemeClr val="tx1">
                  <a:lumMod val="35000"/>
                  <a:lumOff val="65000"/>
                </a:schemeClr>
              </a:solidFill>
              <a:round/>
            </a:ln>
            <a:effectLst/>
          </c:spPr>
        </c:serLines>
        <c:axId val="244805200"/>
        <c:axId val="244791760"/>
      </c:barChart>
      <c:valAx>
        <c:axId val="244791760"/>
        <c:scaling>
          <c:orientation val="minMax"/>
        </c:scaling>
        <c:delete val="1"/>
        <c:axPos val="b"/>
        <c:numFmt formatCode="0" sourceLinked="1"/>
        <c:majorTickMark val="out"/>
        <c:minorTickMark val="none"/>
        <c:tickLblPos val="nextTo"/>
        <c:crossAx val="244805200"/>
        <c:crossBetween val="between"/>
      </c:valAx>
      <c:catAx>
        <c:axId val="244805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44791760"/>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[Juliana_Igboin_WK4.xlsx]Pivot Table!Transferfee/Positions</c:name>
    <c:fmtId val="2"/>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a:t>Forwards Position Sum up the Highest  Total  Transfer Investment  </a:t>
            </a:r>
          </a:p>
        </c:rich>
      </c:tx>
      <c:layout>
        <c:manualLayout>
          <c:xMode val="edge"/>
          <c:yMode val="edge"/>
          <c:x val="0.14558773903262093"/>
          <c:y val="1.724137931034482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F0107"/>
          </a:solidFill>
          <a:ln>
            <a:noFill/>
          </a:ln>
          <a:effectLst/>
        </c:spPr>
        <c:marker>
          <c:symbol val="none"/>
        </c:marker>
        <c:dLbl>
          <c:idx val="0"/>
          <c:spPr>
            <a:noFill/>
            <a:ln>
              <a:noFill/>
            </a:ln>
            <a:effectLst>
              <a:outerShdw blurRad="50800" dist="38100" dir="5400000" algn="t" rotWithShape="0">
                <a:srgbClr val="9C824A">
                  <a:alpha val="40000"/>
                </a:srgbClr>
              </a:outerShdw>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3.2348351514960218E-2"/>
          <c:y val="0.12273894203532219"/>
          <c:w val="0.95813736756859613"/>
          <c:h val="0.80075757694197813"/>
        </c:manualLayout>
      </c:layout>
      <c:barChart>
        <c:barDir val="col"/>
        <c:grouping val="clustered"/>
        <c:varyColors val="0"/>
        <c:ser>
          <c:idx val="0"/>
          <c:order val="0"/>
          <c:tx>
            <c:strRef>
              <c:f>'Pivot Table'!$B$3</c:f>
              <c:strCache>
                <c:ptCount val="1"/>
                <c:pt idx="0">
                  <c:v>Total</c:v>
                </c:pt>
              </c:strCache>
            </c:strRef>
          </c:tx>
          <c:spPr>
            <a:solidFill>
              <a:srgbClr val="EF0107"/>
            </a:solidFill>
            <a:ln>
              <a:noFill/>
            </a:ln>
            <a:effectLst/>
          </c:spPr>
          <c:invertIfNegative val="0"/>
          <c:dLbls>
            <c:spPr>
              <a:noFill/>
              <a:ln>
                <a:noFill/>
              </a:ln>
              <a:effectLst>
                <a:outerShdw blurRad="50800" dist="38100" dir="5400000" algn="t" rotWithShape="0">
                  <a:srgbClr val="9C824A">
                    <a:alpha val="40000"/>
                  </a:srgbClr>
                </a:outerShdw>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4"/>
                <c:pt idx="0">
                  <c:v>Defenders</c:v>
                </c:pt>
                <c:pt idx="1">
                  <c:v>Forwards</c:v>
                </c:pt>
                <c:pt idx="2">
                  <c:v>Goalkeepers</c:v>
                </c:pt>
                <c:pt idx="3">
                  <c:v>Midfielders</c:v>
                </c:pt>
              </c:strCache>
            </c:strRef>
          </c:cat>
          <c:val>
            <c:numRef>
              <c:f>'Pivot Table'!$B$4:$B$8</c:f>
              <c:numCache>
                <c:formatCode>_-[$£-809]* #,##0.00_-;\-[$£-809]* #,##0.00_-;_-[$£-809]* "-"??_-;_-@_-</c:formatCode>
                <c:ptCount val="4"/>
                <c:pt idx="0">
                  <c:v>181000000</c:v>
                </c:pt>
                <c:pt idx="1">
                  <c:v>285000000</c:v>
                </c:pt>
                <c:pt idx="2">
                  <c:v>8800000</c:v>
                </c:pt>
                <c:pt idx="3">
                  <c:v>255000000</c:v>
                </c:pt>
              </c:numCache>
            </c:numRef>
          </c:val>
          <c:extLst>
            <c:ext xmlns:c16="http://schemas.microsoft.com/office/drawing/2014/chart" uri="{C3380CC4-5D6E-409C-BE32-E72D297353CC}">
              <c16:uniqueId val="{00000000-304E-4FCC-9D2A-81BAD898D628}"/>
            </c:ext>
          </c:extLst>
        </c:ser>
        <c:dLbls>
          <c:showLegendKey val="0"/>
          <c:showVal val="0"/>
          <c:showCatName val="0"/>
          <c:showSerName val="0"/>
          <c:showPercent val="0"/>
          <c:showBubbleSize val="0"/>
        </c:dLbls>
        <c:gapWidth val="179"/>
        <c:axId val="2067314703"/>
        <c:axId val="2067322863"/>
      </c:barChart>
      <c:catAx>
        <c:axId val="2067314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067322863"/>
        <c:crosses val="autoZero"/>
        <c:auto val="1"/>
        <c:lblAlgn val="ctr"/>
        <c:lblOffset val="100"/>
        <c:noMultiLvlLbl val="0"/>
      </c:catAx>
      <c:valAx>
        <c:axId val="2067322863"/>
        <c:scaling>
          <c:orientation val="minMax"/>
        </c:scaling>
        <c:delete val="1"/>
        <c:axPos val="l"/>
        <c:numFmt formatCode="_-[$£-809]* #,##0.00_-;\-[$£-809]* #,##0.00_-;_-[$£-809]* &quot;-&quot;??_-;_-@_-" sourceLinked="1"/>
        <c:majorTickMark val="out"/>
        <c:minorTickMark val="none"/>
        <c:tickLblPos val="nextTo"/>
        <c:crossAx val="2067314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c:spPr>
  <c:txPr>
    <a:bodyPr/>
    <a:lstStyle/>
    <a:p>
      <a:pPr>
        <a:defRPr sz="11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[Juliana_Igboin_WK4.xlsx]Pivot Table!Age</c:name>
    <c:fmtId val="1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rgbClr val="063672"/>
                </a:solidFill>
              </a:rPr>
              <a:t>Average Age Of Players Signed </a:t>
            </a:r>
          </a:p>
        </c:rich>
      </c:tx>
      <c:layout>
        <c:manualLayout>
          <c:xMode val="edge"/>
          <c:yMode val="edge"/>
          <c:x val="0.53368732517159456"/>
          <c:y val="2.307926866454437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91326329155086E-2"/>
          <c:y val="0.11995389820658889"/>
          <c:w val="0.97670991254130368"/>
          <c:h val="0.78124325762140412"/>
        </c:manualLayout>
      </c:layout>
      <c:barChart>
        <c:barDir val="col"/>
        <c:grouping val="clustered"/>
        <c:varyColors val="0"/>
        <c:ser>
          <c:idx val="0"/>
          <c:order val="0"/>
          <c:tx>
            <c:strRef>
              <c:f>'Pivot Table'!$H$4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Table'!$G$5:$G$9</c:f>
              <c:strCache>
                <c:ptCount val="4"/>
                <c:pt idx="0">
                  <c:v>Defenders</c:v>
                </c:pt>
                <c:pt idx="1">
                  <c:v>Forwards</c:v>
                </c:pt>
                <c:pt idx="2">
                  <c:v>Goalkeepers</c:v>
                </c:pt>
                <c:pt idx="3">
                  <c:v>Midfielders</c:v>
                </c:pt>
              </c:strCache>
            </c:strRef>
          </c:cat>
          <c:val>
            <c:numRef>
              <c:f>'Pivot Table'!$H$5:$H$9</c:f>
              <c:numCache>
                <c:formatCode>0</c:formatCode>
                <c:ptCount val="4"/>
                <c:pt idx="0">
                  <c:v>24.375</c:v>
                </c:pt>
                <c:pt idx="1">
                  <c:v>25</c:v>
                </c:pt>
                <c:pt idx="2">
                  <c:v>27</c:v>
                </c:pt>
                <c:pt idx="3">
                  <c:v>28.5</c:v>
                </c:pt>
              </c:numCache>
            </c:numRef>
          </c:val>
          <c:extLst>
            <c:ext xmlns:c16="http://schemas.microsoft.com/office/drawing/2014/chart" uri="{C3380CC4-5D6E-409C-BE32-E72D297353CC}">
              <c16:uniqueId val="{00000000-6186-478D-A49F-2A0673C04866}"/>
            </c:ext>
          </c:extLst>
        </c:ser>
        <c:dLbls>
          <c:dLblPos val="outEnd"/>
          <c:showLegendKey val="0"/>
          <c:showVal val="1"/>
          <c:showCatName val="0"/>
          <c:showSerName val="0"/>
          <c:showPercent val="0"/>
          <c:showBubbleSize val="0"/>
        </c:dLbls>
        <c:gapWidth val="219"/>
        <c:overlap val="-27"/>
        <c:axId val="496809744"/>
        <c:axId val="496813584"/>
      </c:barChart>
      <c:catAx>
        <c:axId val="49680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496813584"/>
        <c:crosses val="autoZero"/>
        <c:auto val="1"/>
        <c:lblAlgn val="ctr"/>
        <c:lblOffset val="100"/>
        <c:noMultiLvlLbl val="0"/>
      </c:catAx>
      <c:valAx>
        <c:axId val="496813584"/>
        <c:scaling>
          <c:orientation val="minMax"/>
        </c:scaling>
        <c:delete val="1"/>
        <c:axPos val="l"/>
        <c:numFmt formatCode="0" sourceLinked="1"/>
        <c:majorTickMark val="none"/>
        <c:minorTickMark val="none"/>
        <c:tickLblPos val="nextTo"/>
        <c:crossAx val="496809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hyperlink" Target="https://freepngimg.com/png/31215-arsenal-f-c-free-download" TargetMode="Externa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1</xdr:colOff>
      <xdr:row>22</xdr:row>
      <xdr:rowOff>20820</xdr:rowOff>
    </xdr:from>
    <xdr:to>
      <xdr:col>29</xdr:col>
      <xdr:colOff>1</xdr:colOff>
      <xdr:row>66</xdr:row>
      <xdr:rowOff>33420</xdr:rowOff>
    </xdr:to>
    <xdr:grpSp>
      <xdr:nvGrpSpPr>
        <xdr:cNvPr id="26" name="Group 25">
          <a:extLst>
            <a:ext uri="{FF2B5EF4-FFF2-40B4-BE49-F238E27FC236}">
              <a16:creationId xmlns:a16="http://schemas.microsoft.com/office/drawing/2014/main" id="{8B0948D7-2AC9-75AA-6289-A24B25459E20}"/>
            </a:ext>
          </a:extLst>
        </xdr:cNvPr>
        <xdr:cNvGrpSpPr/>
      </xdr:nvGrpSpPr>
      <xdr:grpSpPr>
        <a:xfrm>
          <a:off x="6061365" y="4100214"/>
          <a:ext cx="11516591" cy="8171388"/>
          <a:chOff x="6085417" y="4148320"/>
          <a:chExt cx="11562291" cy="8280829"/>
        </a:xfrm>
      </xdr:grpSpPr>
      <xdr:graphicFrame macro="">
        <xdr:nvGraphicFramePr>
          <xdr:cNvPr id="8" name="Number of Players Chart">
            <a:extLst>
              <a:ext uri="{FF2B5EF4-FFF2-40B4-BE49-F238E27FC236}">
                <a16:creationId xmlns:a16="http://schemas.microsoft.com/office/drawing/2014/main" id="{97A38FB6-8433-41B5-8DFB-3D5D48BB2405}"/>
              </a:ext>
            </a:extLst>
          </xdr:cNvPr>
          <xdr:cNvGraphicFramePr>
            <a:graphicFrameLocks/>
          </xdr:cNvGraphicFramePr>
        </xdr:nvGraphicFramePr>
        <xdr:xfrm>
          <a:off x="6085417" y="8420713"/>
          <a:ext cx="10953750" cy="400843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Transfer Investment">
            <a:extLst>
              <a:ext uri="{FF2B5EF4-FFF2-40B4-BE49-F238E27FC236}">
                <a16:creationId xmlns:a16="http://schemas.microsoft.com/office/drawing/2014/main" id="{7A1F9EFD-43F8-4FF0-ADDB-F26031CA07A1}"/>
              </a:ext>
            </a:extLst>
          </xdr:cNvPr>
          <xdr:cNvGraphicFramePr>
            <a:graphicFrameLocks/>
          </xdr:cNvGraphicFramePr>
        </xdr:nvGraphicFramePr>
        <xdr:xfrm>
          <a:off x="6085417" y="5053543"/>
          <a:ext cx="5708968" cy="328934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3" name="Average Age Chart">
            <a:extLst>
              <a:ext uri="{FF2B5EF4-FFF2-40B4-BE49-F238E27FC236}">
                <a16:creationId xmlns:a16="http://schemas.microsoft.com/office/drawing/2014/main" id="{63A7F565-9361-478E-9D0D-58A80C8D6C36}"/>
              </a:ext>
            </a:extLst>
          </xdr:cNvPr>
          <xdr:cNvGraphicFramePr>
            <a:graphicFrameLocks/>
          </xdr:cNvGraphicFramePr>
        </xdr:nvGraphicFramePr>
        <xdr:xfrm>
          <a:off x="11866831" y="5053542"/>
          <a:ext cx="5172336" cy="3289345"/>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a14="http://schemas.microsoft.com/office/drawing/2010/main" Requires="a14">
          <xdr:graphicFrame macro="">
            <xdr:nvGraphicFramePr>
              <xdr:cNvPr id="14" name="Positions">
                <a:extLst>
                  <a:ext uri="{FF2B5EF4-FFF2-40B4-BE49-F238E27FC236}">
                    <a16:creationId xmlns:a16="http://schemas.microsoft.com/office/drawing/2014/main" id="{A28C2812-8985-45A3-9D25-EDE85CE6DCF8}"/>
                  </a:ext>
                </a:extLst>
              </xdr:cNvPr>
              <xdr:cNvGraphicFramePr/>
            </xdr:nvGraphicFramePr>
            <xdr:xfrm>
              <a:off x="11962081" y="5238750"/>
              <a:ext cx="1498787" cy="1597164"/>
            </xdr:xfrm>
            <a:graphic>
              <a:graphicData uri="http://schemas.microsoft.com/office/drawing/2010/slicer">
                <sle:slicer xmlns:sle="http://schemas.microsoft.com/office/drawing/2010/slicer" name="Positions"/>
              </a:graphicData>
            </a:graphic>
          </xdr:graphicFrame>
        </mc:Choice>
        <mc:Fallback>
          <xdr:sp macro="" textlink="">
            <xdr:nvSpPr>
              <xdr:cNvPr id="0" name=""/>
              <xdr:cNvSpPr>
                <a:spLocks noTextEdit="1"/>
              </xdr:cNvSpPr>
            </xdr:nvSpPr>
            <xdr:spPr>
              <a:xfrm>
                <a:off x="11914801" y="5176233"/>
                <a:ext cx="1492863" cy="1576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7" name="Rectangle 16">
            <a:extLst>
              <a:ext uri="{FF2B5EF4-FFF2-40B4-BE49-F238E27FC236}">
                <a16:creationId xmlns:a16="http://schemas.microsoft.com/office/drawing/2014/main" id="{2C2AB43C-E766-1636-1E77-4EA8EA57487F}"/>
              </a:ext>
            </a:extLst>
          </xdr:cNvPr>
          <xdr:cNvSpPr/>
        </xdr:nvSpPr>
        <xdr:spPr>
          <a:xfrm>
            <a:off x="6085418" y="4358722"/>
            <a:ext cx="10953749" cy="601640"/>
          </a:xfrm>
          <a:prstGeom prst="rect">
            <a:avLst/>
          </a:prstGeom>
          <a:solidFill>
            <a:srgbClr val="FF0000"/>
          </a:solidFill>
          <a:effectLst>
            <a:glow rad="2286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rgbClr val="063672"/>
                </a:solidFill>
              </a:rPr>
              <a:t>Arsenal  FC  </a:t>
            </a:r>
            <a:r>
              <a:rPr lang="en-US" sz="3200" b="1" i="0" u="none" strike="noStrike">
                <a:solidFill>
                  <a:srgbClr val="063672"/>
                </a:solidFill>
                <a:effectLst/>
                <a:latin typeface="+mn-lt"/>
                <a:ea typeface="+mn-ea"/>
                <a:cs typeface="+mn-cs"/>
              </a:rPr>
              <a:t>2025/26 Transfers</a:t>
            </a:r>
            <a:endParaRPr lang="en-US" sz="3200" b="1">
              <a:solidFill>
                <a:srgbClr val="063672"/>
              </a:solidFill>
            </a:endParaRPr>
          </a:p>
        </xdr:txBody>
      </xdr:sp>
      <xdr:pic>
        <xdr:nvPicPr>
          <xdr:cNvPr id="23" name="Picture 22">
            <a:extLst>
              <a:ext uri="{FF2B5EF4-FFF2-40B4-BE49-F238E27FC236}">
                <a16:creationId xmlns:a16="http://schemas.microsoft.com/office/drawing/2014/main" id="{91B34125-B5B8-0853-8B1C-BB6612F4A92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15895706" y="4148320"/>
            <a:ext cx="1752002" cy="1018494"/>
          </a:xfrm>
          <a:prstGeom prst="rect">
            <a:avLst/>
          </a:prstGeom>
        </xdr:spPr>
      </xdr:pic>
    </xdr:grpSp>
    <xdr:clientData/>
  </xdr:twoCellAnchor>
  <xdr:oneCellAnchor>
    <xdr:from>
      <xdr:col>37</xdr:col>
      <xdr:colOff>611908</xdr:colOff>
      <xdr:row>67</xdr:row>
      <xdr:rowOff>96751</xdr:rowOff>
    </xdr:from>
    <xdr:ext cx="5936673" cy="233205"/>
    <xdr:sp macro="" textlink="">
      <xdr:nvSpPr>
        <xdr:cNvPr id="24" name="TextBox 23">
          <a:extLst>
            <a:ext uri="{FF2B5EF4-FFF2-40B4-BE49-F238E27FC236}">
              <a16:creationId xmlns:a16="http://schemas.microsoft.com/office/drawing/2014/main" id="{B98B44F4-DF8F-D02A-CEE3-FECF6A66AB84}"/>
            </a:ext>
          </a:extLst>
        </xdr:cNvPr>
        <xdr:cNvSpPr txBox="1"/>
      </xdr:nvSpPr>
      <xdr:spPr>
        <a:xfrm>
          <a:off x="23252544" y="12646660"/>
          <a:ext cx="593667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4.723723958334" createdVersion="8" refreshedVersion="8" minRefreshableVersion="3" recordCount="30" xr:uid="{B19B4A37-0A7F-4FA0-AB8D-E579850910F1}">
  <cacheSource type="worksheet">
    <worksheetSource name="ArsenalTransfers"/>
  </cacheSource>
  <cacheFields count="7">
    <cacheField name="Positions" numFmtId="0">
      <sharedItems count="4">
        <s v="Goalkeepers"/>
        <s v="Defenders"/>
        <s v="Midfielders"/>
        <s v="Forwards"/>
      </sharedItems>
    </cacheField>
    <cacheField name="Players" numFmtId="0">
      <sharedItems count="30">
        <s v="David Raya"/>
        <s v="Kepa Arrizabalaga"/>
        <s v="Tommy Setford"/>
        <s v="William Saliba"/>
        <s v="Cristhian Mosquera"/>
        <s v="Ben White"/>
        <s v="Piero Hincapié"/>
        <s v="Gabriel Magalhães"/>
        <s v="Jurriën Timber"/>
        <s v="Riccardo Calafiori"/>
        <s v="Myles Lewis-Skelly"/>
        <s v="Martin Ødegaard"/>
        <s v="Eberechi Eze"/>
        <s v="Christian Nørgaard"/>
        <s v="Mikel Merino"/>
        <s v="Martín Zubimendi"/>
        <s v="Declan Rice"/>
        <s v="Bukayo Saka"/>
        <s v="Gabriel Jesus"/>
        <s v="Gabriel Martinelli"/>
        <s v="Viktor Gyökeres"/>
        <s v="Leandro Trossard"/>
        <s v="Noni Madueke"/>
        <s v="Kai Havertz"/>
        <s v="Max Dowman^"/>
        <s v="Jakub Kiwior"/>
        <s v="Fábio Vieira"/>
        <s v="Ethan Nwaneri†"/>
        <s v="Reiss Nelson"/>
        <s v="Karl Hein"/>
      </sharedItems>
    </cacheField>
    <cacheField name="Nationaity" numFmtId="0">
      <sharedItems count="15">
        <s v="ESP"/>
        <s v="ENG"/>
        <s v="FRA"/>
        <s v="ECU"/>
        <s v="BRA"/>
        <s v="NED"/>
        <s v="ITA"/>
        <s v="NOR"/>
        <s v="DEN"/>
        <s v="SWE"/>
        <s v="BEL"/>
        <s v="GER"/>
        <s v="POL"/>
        <s v="POR"/>
        <s v="EST"/>
      </sharedItems>
    </cacheField>
    <cacheField name="Country" numFmtId="0">
      <sharedItems count="15">
        <s v="Spain"/>
        <s v="England"/>
        <s v="France"/>
        <s v="Ecuador"/>
        <s v="Brazil"/>
        <s v="Netherlands"/>
        <s v="Italy"/>
        <s v="Norway"/>
        <s v="Denmark"/>
        <s v="Sweden"/>
        <s v="Belgium"/>
        <s v="Germany"/>
        <s v="Poland"/>
        <s v="Portugal"/>
        <s v="Estonia"/>
      </sharedItems>
    </cacheField>
    <cacheField name="Transfer Fee " numFmtId="0">
      <sharedItems containsSemiMixedTypes="0" containsString="0" containsNumber="1" containsInteger="1" minValue="0" maxValue="100000000" count="24">
        <n v="3000000"/>
        <n v="5000000"/>
        <n v="800000"/>
        <n v="27000000"/>
        <n v="13000000"/>
        <n v="50000000"/>
        <n v="0"/>
        <n v="23100000"/>
        <n v="34300000"/>
        <n v="33600000"/>
        <n v="1800000"/>
        <n v="60000000"/>
        <n v="10000000"/>
        <n v="27400000"/>
        <n v="55800000"/>
        <n v="100000000"/>
        <n v="45000000"/>
        <n v="6000000"/>
        <n v="55000000"/>
        <n v="21000000"/>
        <n v="48500000"/>
        <n v="62000000"/>
        <n v="17600000"/>
        <n v="29900000"/>
      </sharedItems>
    </cacheField>
    <cacheField name="Transfer Fee Text" numFmtId="0">
      <sharedItems count="24">
        <s v="£3.0m"/>
        <s v="£5.0m"/>
        <s v="£0.8m"/>
        <s v="£27.0m"/>
        <s v="£13.0m"/>
        <s v="£50.0m"/>
        <s v="Undisclosed"/>
        <s v="£23.1m"/>
        <s v="£34.3m"/>
        <s v="£33.6m"/>
        <s v="£1.8m"/>
        <s v="£60.0m"/>
        <s v="£10.0m"/>
        <s v="£27.4m"/>
        <s v="£55.8m"/>
        <s v="£100.0m"/>
        <s v="£45.0m"/>
        <s v="£6.0m"/>
        <s v="£55.0m"/>
        <s v="£21.0m"/>
        <s v="£48.5m"/>
        <s v="£62.0m"/>
        <s v="£17.6m"/>
        <s v="£29.9m"/>
      </sharedItems>
    </cacheField>
    <cacheField name="Age" numFmtId="0">
      <sharedItems containsSemiMixedTypes="0" containsString="0" containsNumber="1" containsInteger="1" minValue="16" maxValue="32" count="13">
        <n v="30"/>
        <n v="31"/>
        <n v="20"/>
        <n v="25"/>
        <n v="22"/>
        <n v="28"/>
        <n v="24"/>
        <n v="19"/>
        <n v="27"/>
        <n v="32"/>
        <n v="29"/>
        <n v="16"/>
        <n v="26"/>
      </sharedItems>
    </cacheField>
  </cacheFields>
  <extLst>
    <ext xmlns:x14="http://schemas.microsoft.com/office/spreadsheetml/2009/9/main" uri="{725AE2AE-9491-48be-B2B4-4EB974FC3084}">
      <x14:pivotCacheDefinition pivotCacheId="1572951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x v="0"/>
    <x v="0"/>
    <x v="0"/>
  </r>
  <r>
    <x v="0"/>
    <x v="1"/>
    <x v="0"/>
    <x v="0"/>
    <x v="1"/>
    <x v="1"/>
    <x v="1"/>
  </r>
  <r>
    <x v="0"/>
    <x v="2"/>
    <x v="1"/>
    <x v="1"/>
    <x v="2"/>
    <x v="2"/>
    <x v="2"/>
  </r>
  <r>
    <x v="1"/>
    <x v="3"/>
    <x v="2"/>
    <x v="2"/>
    <x v="3"/>
    <x v="3"/>
    <x v="3"/>
  </r>
  <r>
    <x v="1"/>
    <x v="4"/>
    <x v="0"/>
    <x v="0"/>
    <x v="4"/>
    <x v="4"/>
    <x v="4"/>
  </r>
  <r>
    <x v="1"/>
    <x v="5"/>
    <x v="1"/>
    <x v="1"/>
    <x v="5"/>
    <x v="5"/>
    <x v="5"/>
  </r>
  <r>
    <x v="1"/>
    <x v="6"/>
    <x v="3"/>
    <x v="3"/>
    <x v="6"/>
    <x v="6"/>
    <x v="6"/>
  </r>
  <r>
    <x v="1"/>
    <x v="7"/>
    <x v="4"/>
    <x v="4"/>
    <x v="7"/>
    <x v="7"/>
    <x v="5"/>
  </r>
  <r>
    <x v="1"/>
    <x v="8"/>
    <x v="5"/>
    <x v="5"/>
    <x v="8"/>
    <x v="8"/>
    <x v="3"/>
  </r>
  <r>
    <x v="1"/>
    <x v="9"/>
    <x v="6"/>
    <x v="6"/>
    <x v="9"/>
    <x v="9"/>
    <x v="6"/>
  </r>
  <r>
    <x v="1"/>
    <x v="10"/>
    <x v="1"/>
    <x v="1"/>
    <x v="6"/>
    <x v="6"/>
    <x v="7"/>
  </r>
  <r>
    <x v="2"/>
    <x v="11"/>
    <x v="7"/>
    <x v="7"/>
    <x v="10"/>
    <x v="10"/>
    <x v="8"/>
  </r>
  <r>
    <x v="2"/>
    <x v="12"/>
    <x v="1"/>
    <x v="1"/>
    <x v="11"/>
    <x v="11"/>
    <x v="5"/>
  </r>
  <r>
    <x v="2"/>
    <x v="13"/>
    <x v="8"/>
    <x v="8"/>
    <x v="12"/>
    <x v="12"/>
    <x v="9"/>
  </r>
  <r>
    <x v="2"/>
    <x v="14"/>
    <x v="0"/>
    <x v="0"/>
    <x v="13"/>
    <x v="13"/>
    <x v="0"/>
  </r>
  <r>
    <x v="2"/>
    <x v="15"/>
    <x v="0"/>
    <x v="0"/>
    <x v="14"/>
    <x v="14"/>
    <x v="8"/>
  </r>
  <r>
    <x v="2"/>
    <x v="16"/>
    <x v="1"/>
    <x v="1"/>
    <x v="15"/>
    <x v="15"/>
    <x v="8"/>
  </r>
  <r>
    <x v="3"/>
    <x v="17"/>
    <x v="1"/>
    <x v="1"/>
    <x v="6"/>
    <x v="6"/>
    <x v="6"/>
  </r>
  <r>
    <x v="3"/>
    <x v="18"/>
    <x v="4"/>
    <x v="4"/>
    <x v="16"/>
    <x v="16"/>
    <x v="10"/>
  </r>
  <r>
    <x v="3"/>
    <x v="19"/>
    <x v="4"/>
    <x v="4"/>
    <x v="17"/>
    <x v="17"/>
    <x v="3"/>
  </r>
  <r>
    <x v="3"/>
    <x v="20"/>
    <x v="9"/>
    <x v="9"/>
    <x v="18"/>
    <x v="18"/>
    <x v="5"/>
  </r>
  <r>
    <x v="3"/>
    <x v="21"/>
    <x v="10"/>
    <x v="10"/>
    <x v="19"/>
    <x v="19"/>
    <x v="1"/>
  </r>
  <r>
    <x v="3"/>
    <x v="22"/>
    <x v="1"/>
    <x v="1"/>
    <x v="20"/>
    <x v="20"/>
    <x v="6"/>
  </r>
  <r>
    <x v="3"/>
    <x v="23"/>
    <x v="11"/>
    <x v="11"/>
    <x v="21"/>
    <x v="21"/>
    <x v="8"/>
  </r>
  <r>
    <x v="3"/>
    <x v="24"/>
    <x v="1"/>
    <x v="1"/>
    <x v="6"/>
    <x v="6"/>
    <x v="11"/>
  </r>
  <r>
    <x v="3"/>
    <x v="25"/>
    <x v="12"/>
    <x v="12"/>
    <x v="22"/>
    <x v="22"/>
    <x v="12"/>
  </r>
  <r>
    <x v="3"/>
    <x v="26"/>
    <x v="13"/>
    <x v="13"/>
    <x v="23"/>
    <x v="23"/>
    <x v="12"/>
  </r>
  <r>
    <x v="3"/>
    <x v="27"/>
    <x v="1"/>
    <x v="1"/>
    <x v="6"/>
    <x v="6"/>
    <x v="7"/>
  </r>
  <r>
    <x v="3"/>
    <x v="28"/>
    <x v="1"/>
    <x v="1"/>
    <x v="6"/>
    <x v="6"/>
    <x v="12"/>
  </r>
  <r>
    <x v="3"/>
    <x v="29"/>
    <x v="14"/>
    <x v="14"/>
    <x v="6"/>
    <x v="6"/>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2D31B0-887F-4A84-B0AE-4CB61FD3EE97}" name="Age" cacheId="3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6" rowHeaderCaption="Positions">
  <location ref="G4:H9" firstHeaderRow="1" firstDataRow="1" firstDataCol="1"/>
  <pivotFields count="7">
    <pivotField axis="axisRow" showAll="0">
      <items count="5">
        <item x="1"/>
        <item x="3"/>
        <item x="0"/>
        <item x="2"/>
        <item t="default"/>
      </items>
    </pivotField>
    <pivotField showAll="0">
      <items count="31">
        <item x="5"/>
        <item x="17"/>
        <item x="13"/>
        <item x="4"/>
        <item x="0"/>
        <item x="16"/>
        <item x="12"/>
        <item x="27"/>
        <item x="26"/>
        <item x="18"/>
        <item x="7"/>
        <item x="19"/>
        <item x="25"/>
        <item x="8"/>
        <item x="23"/>
        <item x="29"/>
        <item x="1"/>
        <item x="21"/>
        <item x="11"/>
        <item x="15"/>
        <item x="24"/>
        <item x="14"/>
        <item x="10"/>
        <item x="22"/>
        <item x="6"/>
        <item x="28"/>
        <item x="9"/>
        <item x="2"/>
        <item x="20"/>
        <item x="3"/>
        <item t="default"/>
      </items>
    </pivotField>
    <pivotField showAll="0"/>
    <pivotField showAll="0">
      <items count="16">
        <item x="10"/>
        <item x="4"/>
        <item x="8"/>
        <item x="3"/>
        <item x="1"/>
        <item x="14"/>
        <item x="2"/>
        <item x="11"/>
        <item x="6"/>
        <item x="5"/>
        <item x="7"/>
        <item x="12"/>
        <item x="13"/>
        <item x="0"/>
        <item x="9"/>
        <item t="default"/>
      </items>
    </pivotField>
    <pivotField showAll="0"/>
    <pivotField showAll="0"/>
    <pivotField dataField="1" showAll="0"/>
  </pivotFields>
  <rowFields count="1">
    <field x="0"/>
  </rowFields>
  <rowItems count="5">
    <i>
      <x/>
    </i>
    <i>
      <x v="1"/>
    </i>
    <i>
      <x v="2"/>
    </i>
    <i>
      <x v="3"/>
    </i>
    <i t="grand">
      <x/>
    </i>
  </rowItems>
  <colItems count="1">
    <i/>
  </colItems>
  <dataFields count="1">
    <dataField name="Average of Age" fld="6" subtotal="average" baseField="1" baseItem="0"/>
  </dataFields>
  <formats count="3">
    <format dxfId="0">
      <pivotArea field="3" type="button" dataOnly="0" labelOnly="1" outline="0"/>
    </format>
    <format dxfId="1">
      <pivotArea outline="0" collapsedLevelsAreSubtotals="1" fieldPosition="0"/>
    </format>
    <format dxfId="2">
      <pivotArea dataOnly="0" labelOnly="1"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638A5B-5DD4-4225-9980-C60A97E135E1}" name="Count Of Players"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rowHeaderCaption="Nationality">
  <location ref="D3:E19" firstHeaderRow="1" firstDataRow="1" firstDataCol="1"/>
  <pivotFields count="7">
    <pivotField showAll="0">
      <items count="5">
        <item x="1"/>
        <item x="3"/>
        <item x="0"/>
        <item x="2"/>
        <item t="default"/>
      </items>
    </pivotField>
    <pivotField dataField="1" showAll="0"/>
    <pivotField showAll="0"/>
    <pivotField axis="axisRow" showAll="0">
      <items count="16">
        <item x="10"/>
        <item x="4"/>
        <item x="8"/>
        <item x="3"/>
        <item x="1"/>
        <item x="14"/>
        <item x="2"/>
        <item x="11"/>
        <item x="6"/>
        <item x="5"/>
        <item x="7"/>
        <item x="12"/>
        <item x="13"/>
        <item x="0"/>
        <item x="9"/>
        <item t="default"/>
      </items>
    </pivotField>
    <pivotField showAll="0"/>
    <pivotField showAll="0"/>
    <pivotField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Count of Players" fld="1" subtotal="count" baseField="0" baseItem="0" numFmtId="1"/>
  </dataFields>
  <formats count="5">
    <format dxfId="3">
      <pivotArea collapsedLevelsAreSubtotals="1" fieldPosition="0">
        <references count="1">
          <reference field="3" count="5">
            <x v="0"/>
            <x v="1"/>
            <x v="2"/>
            <x v="3"/>
            <x v="4"/>
          </reference>
        </references>
      </pivotArea>
    </format>
    <format dxfId="4">
      <pivotArea field="3" type="button" dataOnly="0" labelOnly="1" outline="0" axis="axisRow" fieldPosition="0"/>
    </format>
    <format dxfId="5">
      <pivotArea dataOnly="0" labelOnly="1" fieldPosition="0">
        <references count="1">
          <reference field="3" count="5">
            <x v="0"/>
            <x v="1"/>
            <x v="2"/>
            <x v="3"/>
            <x v="4"/>
          </reference>
        </references>
      </pivotArea>
    </format>
    <format dxfId="6">
      <pivotArea outline="0" collapsedLevelsAreSubtotals="1" fieldPosition="0"/>
    </format>
    <format dxfId="7">
      <pivotArea dataOnly="0" labelOnly="1" outline="0" axis="axisValues" fieldPosition="0"/>
    </format>
  </formats>
  <chartFormats count="16">
    <chartFormat chart="46" format="17" series="1">
      <pivotArea type="data" outline="0" fieldPosition="0">
        <references count="1">
          <reference field="4294967294" count="1" selected="0">
            <x v="0"/>
          </reference>
        </references>
      </pivotArea>
    </chartFormat>
    <chartFormat chart="46" format="18">
      <pivotArea type="data" outline="0" fieldPosition="0">
        <references count="2">
          <reference field="4294967294" count="1" selected="0">
            <x v="0"/>
          </reference>
          <reference field="3" count="1" selected="0">
            <x v="0"/>
          </reference>
        </references>
      </pivotArea>
    </chartFormat>
    <chartFormat chart="46" format="19">
      <pivotArea type="data" outline="0" fieldPosition="0">
        <references count="2">
          <reference field="4294967294" count="1" selected="0">
            <x v="0"/>
          </reference>
          <reference field="3" count="1" selected="0">
            <x v="1"/>
          </reference>
        </references>
      </pivotArea>
    </chartFormat>
    <chartFormat chart="46" format="20">
      <pivotArea type="data" outline="0" fieldPosition="0">
        <references count="2">
          <reference field="4294967294" count="1" selected="0">
            <x v="0"/>
          </reference>
          <reference field="3" count="1" selected="0">
            <x v="2"/>
          </reference>
        </references>
      </pivotArea>
    </chartFormat>
    <chartFormat chart="46" format="21">
      <pivotArea type="data" outline="0" fieldPosition="0">
        <references count="2">
          <reference field="4294967294" count="1" selected="0">
            <x v="0"/>
          </reference>
          <reference field="3" count="1" selected="0">
            <x v="3"/>
          </reference>
        </references>
      </pivotArea>
    </chartFormat>
    <chartFormat chart="46" format="22">
      <pivotArea type="data" outline="0" fieldPosition="0">
        <references count="2">
          <reference field="4294967294" count="1" selected="0">
            <x v="0"/>
          </reference>
          <reference field="3" count="1" selected="0">
            <x v="4"/>
          </reference>
        </references>
      </pivotArea>
    </chartFormat>
    <chartFormat chart="46" format="23">
      <pivotArea type="data" outline="0" fieldPosition="0">
        <references count="2">
          <reference field="4294967294" count="1" selected="0">
            <x v="0"/>
          </reference>
          <reference field="3" count="1" selected="0">
            <x v="5"/>
          </reference>
        </references>
      </pivotArea>
    </chartFormat>
    <chartFormat chart="46" format="24">
      <pivotArea type="data" outline="0" fieldPosition="0">
        <references count="2">
          <reference field="4294967294" count="1" selected="0">
            <x v="0"/>
          </reference>
          <reference field="3" count="1" selected="0">
            <x v="6"/>
          </reference>
        </references>
      </pivotArea>
    </chartFormat>
    <chartFormat chart="46" format="25">
      <pivotArea type="data" outline="0" fieldPosition="0">
        <references count="2">
          <reference field="4294967294" count="1" selected="0">
            <x v="0"/>
          </reference>
          <reference field="3" count="1" selected="0">
            <x v="7"/>
          </reference>
        </references>
      </pivotArea>
    </chartFormat>
    <chartFormat chart="46" format="26">
      <pivotArea type="data" outline="0" fieldPosition="0">
        <references count="2">
          <reference field="4294967294" count="1" selected="0">
            <x v="0"/>
          </reference>
          <reference field="3" count="1" selected="0">
            <x v="8"/>
          </reference>
        </references>
      </pivotArea>
    </chartFormat>
    <chartFormat chart="46" format="27">
      <pivotArea type="data" outline="0" fieldPosition="0">
        <references count="2">
          <reference field="4294967294" count="1" selected="0">
            <x v="0"/>
          </reference>
          <reference field="3" count="1" selected="0">
            <x v="9"/>
          </reference>
        </references>
      </pivotArea>
    </chartFormat>
    <chartFormat chart="46" format="28">
      <pivotArea type="data" outline="0" fieldPosition="0">
        <references count="2">
          <reference field="4294967294" count="1" selected="0">
            <x v="0"/>
          </reference>
          <reference field="3" count="1" selected="0">
            <x v="10"/>
          </reference>
        </references>
      </pivotArea>
    </chartFormat>
    <chartFormat chart="46" format="29">
      <pivotArea type="data" outline="0" fieldPosition="0">
        <references count="2">
          <reference field="4294967294" count="1" selected="0">
            <x v="0"/>
          </reference>
          <reference field="3" count="1" selected="0">
            <x v="11"/>
          </reference>
        </references>
      </pivotArea>
    </chartFormat>
    <chartFormat chart="46" format="30">
      <pivotArea type="data" outline="0" fieldPosition="0">
        <references count="2">
          <reference field="4294967294" count="1" selected="0">
            <x v="0"/>
          </reference>
          <reference field="3" count="1" selected="0">
            <x v="12"/>
          </reference>
        </references>
      </pivotArea>
    </chartFormat>
    <chartFormat chart="46" format="31">
      <pivotArea type="data" outline="0" fieldPosition="0">
        <references count="2">
          <reference field="4294967294" count="1" selected="0">
            <x v="0"/>
          </reference>
          <reference field="3" count="1" selected="0">
            <x v="13"/>
          </reference>
        </references>
      </pivotArea>
    </chartFormat>
    <chartFormat chart="46" format="32">
      <pivotArea type="data" outline="0" fieldPosition="0">
        <references count="2">
          <reference field="4294967294" count="1" selected="0">
            <x v="0"/>
          </reference>
          <reference field="3"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289026-E212-4C7F-9ED8-325189932E2E}" name="Transferfee/Positions"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ositions">
  <location ref="A3:B8" firstHeaderRow="1" firstDataRow="1" firstDataCol="1"/>
  <pivotFields count="7">
    <pivotField axis="axisRow" showAll="0">
      <items count="5">
        <item x="1"/>
        <item x="3"/>
        <item x="0"/>
        <item x="2"/>
        <item t="default"/>
      </items>
    </pivotField>
    <pivotField showAll="0"/>
    <pivotField showAll="0"/>
    <pivotField showAll="0"/>
    <pivotField dataField="1" showAll="0"/>
    <pivotField showAll="0"/>
    <pivotField showAll="0"/>
  </pivotFields>
  <rowFields count="1">
    <field x="0"/>
  </rowFields>
  <rowItems count="5">
    <i>
      <x/>
    </i>
    <i>
      <x v="1"/>
    </i>
    <i>
      <x v="2"/>
    </i>
    <i>
      <x v="3"/>
    </i>
    <i t="grand">
      <x/>
    </i>
  </rowItems>
  <colItems count="1">
    <i/>
  </colItems>
  <dataFields count="1">
    <dataField name="Sum of Transfer Fee " fld="4" baseField="0" baseItem="0" numFmtId="167"/>
  </dataFields>
  <formats count="2">
    <format dxfId="9">
      <pivotArea outline="0" collapsedLevelsAreSubtotals="1" fieldPosition="0"/>
    </format>
    <format dxfId="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s" xr10:uid="{67D92D37-0997-429D-97CA-715B8A723F38}" sourceName="Positions">
  <pivotTables>
    <pivotTable tabId="15" name="Age"/>
  </pivotTables>
  <data>
    <tabular pivotCacheId="1572951925">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s" xr10:uid="{252C46C7-12DE-45D0-86A2-9D5D33777827}" cache="Slicer_Positions" caption="Position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D14F699-ACCA-4E95-BF53-759A841A13D2}" name="ArsenalTransfers" displayName="ArsenalTransfers" ref="A1:G31" totalsRowShown="0" headerRowDxfId="10">
  <autoFilter ref="A1:G31" xr:uid="{AD14F699-ACCA-4E95-BF53-759A841A13D2}"/>
  <tableColumns count="7">
    <tableColumn id="1" xr3:uid="{945F705B-08F9-4631-9A35-C936FA322597}" name="Positions"/>
    <tableColumn id="2" xr3:uid="{8FACEA4F-6EDA-40CE-900E-E4C44319A831}" name="Players"/>
    <tableColumn id="3" xr3:uid="{1C3A357F-210A-497D-B475-F09154200C12}" name="Nationaity"/>
    <tableColumn id="4" xr3:uid="{0EE5C52C-06FE-4B73-865C-C423DFC7F9EC}" name="Country"/>
    <tableColumn id="5" xr3:uid="{32D1A867-8FD1-4575-B70D-6C61DC4D12E6}" name="Transfer Fee "/>
    <tableColumn id="6" xr3:uid="{8D66D00B-5338-4E46-AE07-2B62ADE65669}" name="Transfer Fee Text"/>
    <tableColumn id="7" xr3:uid="{5F3D9161-8DEC-41B4-8947-96A5174D74D5}" name="Age" dataDxfId="11"/>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hyperlink" Targ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3975E-CEC7-46B6-92AD-46142A1DBF82}">
  <dimension ref="A3:H19"/>
  <sheetViews>
    <sheetView workbookViewId="0">
      <selection activeCell="K7" sqref="K7"/>
    </sheetView>
  </sheetViews>
  <sheetFormatPr defaultRowHeight="14.5" x14ac:dyDescent="0.35"/>
  <cols>
    <col min="1" max="1" width="12.453125" bestFit="1" customWidth="1"/>
    <col min="2" max="2" width="17.7265625" bestFit="1" customWidth="1"/>
    <col min="4" max="4" width="12.26953125" bestFit="1" customWidth="1"/>
    <col min="5" max="5" width="15.7265625" bestFit="1" customWidth="1"/>
    <col min="7" max="7" width="11" bestFit="1" customWidth="1"/>
    <col min="8" max="8" width="12.7265625" bestFit="1" customWidth="1"/>
  </cols>
  <sheetData>
    <row r="3" spans="1:8" x14ac:dyDescent="0.35">
      <c r="A3" s="2" t="s">
        <v>69</v>
      </c>
      <c r="B3" s="5" t="s">
        <v>98</v>
      </c>
      <c r="D3" s="8" t="s">
        <v>50</v>
      </c>
      <c r="E3" s="6" t="s">
        <v>99</v>
      </c>
    </row>
    <row r="4" spans="1:8" x14ac:dyDescent="0.35">
      <c r="A4" s="3" t="s">
        <v>4</v>
      </c>
      <c r="B4" s="5">
        <v>181000000</v>
      </c>
      <c r="D4" s="9" t="s">
        <v>51</v>
      </c>
      <c r="E4" s="6">
        <v>1</v>
      </c>
      <c r="G4" s="2" t="s">
        <v>69</v>
      </c>
      <c r="H4" s="6" t="s">
        <v>100</v>
      </c>
    </row>
    <row r="5" spans="1:8" x14ac:dyDescent="0.35">
      <c r="A5" s="3" t="s">
        <v>16</v>
      </c>
      <c r="B5" s="5">
        <v>285000000</v>
      </c>
      <c r="D5" s="9" t="s">
        <v>52</v>
      </c>
      <c r="E5" s="6">
        <v>3</v>
      </c>
      <c r="G5" s="3" t="s">
        <v>4</v>
      </c>
      <c r="H5" s="6">
        <v>24.375</v>
      </c>
    </row>
    <row r="6" spans="1:8" x14ac:dyDescent="0.35">
      <c r="A6" s="3" t="s">
        <v>0</v>
      </c>
      <c r="B6" s="5">
        <v>8800000</v>
      </c>
      <c r="D6" s="9" t="s">
        <v>53</v>
      </c>
      <c r="E6" s="6">
        <v>1</v>
      </c>
      <c r="G6" s="3" t="s">
        <v>16</v>
      </c>
      <c r="H6" s="6">
        <v>25</v>
      </c>
    </row>
    <row r="7" spans="1:8" x14ac:dyDescent="0.35">
      <c r="A7" s="3" t="s">
        <v>12</v>
      </c>
      <c r="B7" s="5">
        <v>255000000</v>
      </c>
      <c r="D7" s="9" t="s">
        <v>56</v>
      </c>
      <c r="E7" s="6">
        <v>1</v>
      </c>
      <c r="G7" s="3" t="s">
        <v>0</v>
      </c>
      <c r="H7" s="6">
        <v>27</v>
      </c>
    </row>
    <row r="8" spans="1:8" x14ac:dyDescent="0.35">
      <c r="A8" s="3" t="s">
        <v>95</v>
      </c>
      <c r="B8" s="5">
        <v>729800000</v>
      </c>
      <c r="D8" s="9" t="s">
        <v>57</v>
      </c>
      <c r="E8" s="6">
        <v>10</v>
      </c>
      <c r="G8" s="3" t="s">
        <v>12</v>
      </c>
      <c r="H8" s="6">
        <v>28.5</v>
      </c>
    </row>
    <row r="9" spans="1:8" x14ac:dyDescent="0.35">
      <c r="D9" s="3" t="s">
        <v>59</v>
      </c>
      <c r="E9" s="6">
        <v>1</v>
      </c>
      <c r="G9" s="3" t="s">
        <v>95</v>
      </c>
      <c r="H9" s="6">
        <v>25.733333333333334</v>
      </c>
    </row>
    <row r="10" spans="1:8" x14ac:dyDescent="0.35">
      <c r="D10" s="3" t="s">
        <v>60</v>
      </c>
      <c r="E10" s="6">
        <v>1</v>
      </c>
    </row>
    <row r="11" spans="1:8" x14ac:dyDescent="0.35">
      <c r="D11" s="3" t="s">
        <v>61</v>
      </c>
      <c r="E11" s="6">
        <v>1</v>
      </c>
    </row>
    <row r="12" spans="1:8" x14ac:dyDescent="0.35">
      <c r="D12" s="3" t="s">
        <v>62</v>
      </c>
      <c r="E12" s="6">
        <v>1</v>
      </c>
    </row>
    <row r="13" spans="1:8" x14ac:dyDescent="0.35">
      <c r="D13" s="3" t="s">
        <v>63</v>
      </c>
      <c r="E13" s="6">
        <v>1</v>
      </c>
    </row>
    <row r="14" spans="1:8" x14ac:dyDescent="0.35">
      <c r="D14" s="3" t="s">
        <v>64</v>
      </c>
      <c r="E14" s="6">
        <v>1</v>
      </c>
    </row>
    <row r="15" spans="1:8" x14ac:dyDescent="0.35">
      <c r="D15" s="3" t="s">
        <v>65</v>
      </c>
      <c r="E15" s="6">
        <v>1</v>
      </c>
    </row>
    <row r="16" spans="1:8" x14ac:dyDescent="0.35">
      <c r="D16" s="3" t="s">
        <v>66</v>
      </c>
      <c r="E16" s="6">
        <v>1</v>
      </c>
    </row>
    <row r="17" spans="4:5" x14ac:dyDescent="0.35">
      <c r="D17" s="3" t="s">
        <v>58</v>
      </c>
      <c r="E17" s="6">
        <v>5</v>
      </c>
    </row>
    <row r="18" spans="4:5" x14ac:dyDescent="0.35">
      <c r="D18" s="3" t="s">
        <v>67</v>
      </c>
      <c r="E18" s="6">
        <v>1</v>
      </c>
    </row>
    <row r="19" spans="4:5" x14ac:dyDescent="0.35">
      <c r="D19" s="3" t="s">
        <v>95</v>
      </c>
      <c r="E19" s="6">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BA58B-40C6-4FDA-95B3-458926234A29}">
  <dimension ref="A1:I31"/>
  <sheetViews>
    <sheetView topLeftCell="A2" zoomScale="98" zoomScaleNormal="98" workbookViewId="0">
      <selection activeCell="F14" sqref="F14"/>
    </sheetView>
  </sheetViews>
  <sheetFormatPr defaultRowHeight="14.5" x14ac:dyDescent="0.35"/>
  <cols>
    <col min="1" max="1" width="19.90625" customWidth="1"/>
    <col min="2" max="2" width="22.26953125" customWidth="1"/>
    <col min="3" max="4" width="16.90625" customWidth="1"/>
    <col min="5" max="5" width="25.81640625" customWidth="1"/>
    <col min="6" max="6" width="20.26953125" customWidth="1"/>
    <col min="7" max="7" width="16.54296875" customWidth="1"/>
    <col min="8" max="8" width="20.90625" customWidth="1"/>
  </cols>
  <sheetData>
    <row r="1" spans="1:9" x14ac:dyDescent="0.35">
      <c r="A1" s="7" t="s">
        <v>69</v>
      </c>
      <c r="B1" s="7" t="s">
        <v>28</v>
      </c>
      <c r="C1" s="7" t="s">
        <v>68</v>
      </c>
      <c r="D1" s="7" t="s">
        <v>55</v>
      </c>
      <c r="E1" s="7" t="s">
        <v>96</v>
      </c>
      <c r="F1" s="7" t="s">
        <v>97</v>
      </c>
      <c r="G1" s="7" t="s">
        <v>70</v>
      </c>
    </row>
    <row r="2" spans="1:9" x14ac:dyDescent="0.35">
      <c r="A2" t="s">
        <v>0</v>
      </c>
      <c r="B2" t="s">
        <v>29</v>
      </c>
      <c r="C2" t="s">
        <v>1</v>
      </c>
      <c r="D2" t="s">
        <v>58</v>
      </c>
      <c r="E2">
        <v>3000000</v>
      </c>
      <c r="F2" t="s">
        <v>71</v>
      </c>
      <c r="G2" s="1">
        <v>30</v>
      </c>
    </row>
    <row r="3" spans="1:9" x14ac:dyDescent="0.35">
      <c r="A3" t="s">
        <v>0</v>
      </c>
      <c r="B3" t="s">
        <v>30</v>
      </c>
      <c r="C3" t="s">
        <v>1</v>
      </c>
      <c r="D3" t="s">
        <v>58</v>
      </c>
      <c r="E3">
        <v>5000000</v>
      </c>
      <c r="F3" t="s">
        <v>72</v>
      </c>
      <c r="G3" s="1">
        <v>31</v>
      </c>
    </row>
    <row r="4" spans="1:9" x14ac:dyDescent="0.35">
      <c r="A4" t="s">
        <v>0</v>
      </c>
      <c r="B4" t="s">
        <v>2</v>
      </c>
      <c r="C4" t="s">
        <v>3</v>
      </c>
      <c r="D4" t="s">
        <v>57</v>
      </c>
      <c r="E4">
        <v>800000</v>
      </c>
      <c r="F4" t="s">
        <v>73</v>
      </c>
      <c r="G4" s="1">
        <v>20</v>
      </c>
    </row>
    <row r="5" spans="1:9" x14ac:dyDescent="0.35">
      <c r="A5" t="s">
        <v>4</v>
      </c>
      <c r="B5" t="s">
        <v>31</v>
      </c>
      <c r="C5" t="s">
        <v>5</v>
      </c>
      <c r="D5" t="s">
        <v>60</v>
      </c>
      <c r="E5">
        <v>27000000</v>
      </c>
      <c r="F5" t="s">
        <v>74</v>
      </c>
      <c r="G5" s="1">
        <v>25</v>
      </c>
    </row>
    <row r="6" spans="1:9" x14ac:dyDescent="0.35">
      <c r="A6" t="s">
        <v>4</v>
      </c>
      <c r="B6" t="s">
        <v>32</v>
      </c>
      <c r="C6" t="s">
        <v>1</v>
      </c>
      <c r="D6" t="s">
        <v>58</v>
      </c>
      <c r="E6">
        <v>13000000</v>
      </c>
      <c r="F6" t="s">
        <v>75</v>
      </c>
      <c r="G6" s="1">
        <v>22</v>
      </c>
    </row>
    <row r="7" spans="1:9" x14ac:dyDescent="0.35">
      <c r="A7" t="s">
        <v>4</v>
      </c>
      <c r="B7" t="s">
        <v>33</v>
      </c>
      <c r="C7" t="s">
        <v>3</v>
      </c>
      <c r="D7" t="s">
        <v>57</v>
      </c>
      <c r="E7">
        <v>50000000</v>
      </c>
      <c r="F7" t="s">
        <v>76</v>
      </c>
      <c r="G7" s="1">
        <v>28</v>
      </c>
    </row>
    <row r="8" spans="1:9" x14ac:dyDescent="0.35">
      <c r="A8" t="s">
        <v>4</v>
      </c>
      <c r="B8" t="s">
        <v>34</v>
      </c>
      <c r="C8" t="s">
        <v>6</v>
      </c>
      <c r="D8" t="s">
        <v>56</v>
      </c>
      <c r="E8">
        <v>0</v>
      </c>
      <c r="F8" t="s">
        <v>77</v>
      </c>
      <c r="G8" s="1">
        <v>24</v>
      </c>
    </row>
    <row r="9" spans="1:9" x14ac:dyDescent="0.35">
      <c r="A9" t="s">
        <v>4</v>
      </c>
      <c r="B9" t="s">
        <v>35</v>
      </c>
      <c r="C9" t="s">
        <v>7</v>
      </c>
      <c r="D9" t="s">
        <v>52</v>
      </c>
      <c r="E9">
        <v>23100000</v>
      </c>
      <c r="F9" t="s">
        <v>78</v>
      </c>
      <c r="G9" s="1">
        <v>28</v>
      </c>
    </row>
    <row r="10" spans="1:9" x14ac:dyDescent="0.35">
      <c r="A10" t="s">
        <v>4</v>
      </c>
      <c r="B10" t="s">
        <v>8</v>
      </c>
      <c r="C10" t="s">
        <v>9</v>
      </c>
      <c r="D10" t="s">
        <v>63</v>
      </c>
      <c r="E10">
        <v>34300000</v>
      </c>
      <c r="F10" t="s">
        <v>79</v>
      </c>
      <c r="G10" s="1">
        <v>25</v>
      </c>
    </row>
    <row r="11" spans="1:9" x14ac:dyDescent="0.35">
      <c r="A11" t="s">
        <v>4</v>
      </c>
      <c r="B11" t="s">
        <v>10</v>
      </c>
      <c r="C11" t="s">
        <v>11</v>
      </c>
      <c r="D11" t="s">
        <v>62</v>
      </c>
      <c r="E11">
        <v>33600000</v>
      </c>
      <c r="F11" t="s">
        <v>80</v>
      </c>
      <c r="G11" s="1">
        <v>24</v>
      </c>
    </row>
    <row r="12" spans="1:9" x14ac:dyDescent="0.35">
      <c r="A12" t="s">
        <v>4</v>
      </c>
      <c r="B12" t="s">
        <v>36</v>
      </c>
      <c r="C12" t="s">
        <v>3</v>
      </c>
      <c r="D12" t="s">
        <v>57</v>
      </c>
      <c r="E12">
        <v>0</v>
      </c>
      <c r="F12" t="s">
        <v>77</v>
      </c>
      <c r="G12" s="1">
        <v>19</v>
      </c>
    </row>
    <row r="13" spans="1:9" x14ac:dyDescent="0.35">
      <c r="A13" t="s">
        <v>12</v>
      </c>
      <c r="B13" t="s">
        <v>37</v>
      </c>
      <c r="C13" t="s">
        <v>13</v>
      </c>
      <c r="D13" t="s">
        <v>64</v>
      </c>
      <c r="E13">
        <v>1800000</v>
      </c>
      <c r="F13" t="s">
        <v>81</v>
      </c>
      <c r="G13" s="1">
        <v>27</v>
      </c>
      <c r="I13" s="4"/>
    </row>
    <row r="14" spans="1:9" x14ac:dyDescent="0.35">
      <c r="A14" t="s">
        <v>12</v>
      </c>
      <c r="B14" t="s">
        <v>38</v>
      </c>
      <c r="C14" t="s">
        <v>3</v>
      </c>
      <c r="D14" t="s">
        <v>57</v>
      </c>
      <c r="E14">
        <v>60000000</v>
      </c>
      <c r="F14" t="s">
        <v>82</v>
      </c>
      <c r="G14" s="1">
        <v>28</v>
      </c>
    </row>
    <row r="15" spans="1:9" x14ac:dyDescent="0.35">
      <c r="A15" t="s">
        <v>12</v>
      </c>
      <c r="B15" t="s">
        <v>39</v>
      </c>
      <c r="C15" t="s">
        <v>14</v>
      </c>
      <c r="D15" t="s">
        <v>53</v>
      </c>
      <c r="E15">
        <v>10000000</v>
      </c>
      <c r="F15" t="s">
        <v>83</v>
      </c>
      <c r="G15" s="1">
        <v>32</v>
      </c>
    </row>
    <row r="16" spans="1:9" x14ac:dyDescent="0.35">
      <c r="A16" t="s">
        <v>12</v>
      </c>
      <c r="B16" t="s">
        <v>15</v>
      </c>
      <c r="C16" t="s">
        <v>1</v>
      </c>
      <c r="D16" t="s">
        <v>58</v>
      </c>
      <c r="E16">
        <v>27400000</v>
      </c>
      <c r="F16" t="s">
        <v>84</v>
      </c>
      <c r="G16" s="1">
        <v>30</v>
      </c>
    </row>
    <row r="17" spans="1:7" x14ac:dyDescent="0.35">
      <c r="A17" t="s">
        <v>12</v>
      </c>
      <c r="B17" t="s">
        <v>40</v>
      </c>
      <c r="C17" t="s">
        <v>1</v>
      </c>
      <c r="D17" t="s">
        <v>58</v>
      </c>
      <c r="E17">
        <v>55800000</v>
      </c>
      <c r="F17" t="s">
        <v>85</v>
      </c>
      <c r="G17" s="1">
        <v>27</v>
      </c>
    </row>
    <row r="18" spans="1:7" x14ac:dyDescent="0.35">
      <c r="A18" t="s">
        <v>12</v>
      </c>
      <c r="B18" t="s">
        <v>41</v>
      </c>
      <c r="C18" t="s">
        <v>3</v>
      </c>
      <c r="D18" t="s">
        <v>57</v>
      </c>
      <c r="E18">
        <v>100000000</v>
      </c>
      <c r="F18" t="s">
        <v>86</v>
      </c>
      <c r="G18" s="1">
        <v>27</v>
      </c>
    </row>
    <row r="19" spans="1:7" x14ac:dyDescent="0.35">
      <c r="A19" t="s">
        <v>16</v>
      </c>
      <c r="B19" t="s">
        <v>42</v>
      </c>
      <c r="C19" t="s">
        <v>3</v>
      </c>
      <c r="D19" t="s">
        <v>57</v>
      </c>
      <c r="E19">
        <v>0</v>
      </c>
      <c r="F19" t="s">
        <v>77</v>
      </c>
      <c r="G19" s="1">
        <v>24</v>
      </c>
    </row>
    <row r="20" spans="1:7" x14ac:dyDescent="0.35">
      <c r="A20" t="s">
        <v>16</v>
      </c>
      <c r="B20" t="s">
        <v>17</v>
      </c>
      <c r="C20" t="s">
        <v>7</v>
      </c>
      <c r="D20" t="s">
        <v>52</v>
      </c>
      <c r="E20">
        <v>45000000</v>
      </c>
      <c r="F20" t="s">
        <v>87</v>
      </c>
      <c r="G20" s="1">
        <v>29</v>
      </c>
    </row>
    <row r="21" spans="1:7" x14ac:dyDescent="0.35">
      <c r="A21" t="s">
        <v>16</v>
      </c>
      <c r="B21" t="s">
        <v>43</v>
      </c>
      <c r="C21" t="s">
        <v>7</v>
      </c>
      <c r="D21" t="s">
        <v>52</v>
      </c>
      <c r="E21">
        <v>6000000</v>
      </c>
      <c r="F21" t="s">
        <v>88</v>
      </c>
      <c r="G21" s="1">
        <v>25</v>
      </c>
    </row>
    <row r="22" spans="1:7" x14ac:dyDescent="0.35">
      <c r="A22" t="s">
        <v>16</v>
      </c>
      <c r="B22" t="s">
        <v>44</v>
      </c>
      <c r="C22" t="s">
        <v>18</v>
      </c>
      <c r="D22" t="s">
        <v>67</v>
      </c>
      <c r="E22">
        <v>55000000</v>
      </c>
      <c r="F22" t="s">
        <v>89</v>
      </c>
      <c r="G22" s="1">
        <v>28</v>
      </c>
    </row>
    <row r="23" spans="1:7" x14ac:dyDescent="0.35">
      <c r="A23" t="s">
        <v>16</v>
      </c>
      <c r="B23" t="s">
        <v>19</v>
      </c>
      <c r="C23" t="s">
        <v>20</v>
      </c>
      <c r="D23" t="s">
        <v>51</v>
      </c>
      <c r="E23">
        <v>21000000</v>
      </c>
      <c r="F23" t="s">
        <v>90</v>
      </c>
      <c r="G23" s="1">
        <v>31</v>
      </c>
    </row>
    <row r="24" spans="1:7" x14ac:dyDescent="0.35">
      <c r="A24" t="s">
        <v>16</v>
      </c>
      <c r="B24" t="s">
        <v>45</v>
      </c>
      <c r="C24" t="s">
        <v>3</v>
      </c>
      <c r="D24" t="s">
        <v>57</v>
      </c>
      <c r="E24">
        <v>48500000</v>
      </c>
      <c r="F24" t="s">
        <v>91</v>
      </c>
      <c r="G24" s="1">
        <v>24</v>
      </c>
    </row>
    <row r="25" spans="1:7" x14ac:dyDescent="0.35">
      <c r="A25" t="s">
        <v>16</v>
      </c>
      <c r="B25" t="s">
        <v>21</v>
      </c>
      <c r="C25" t="s">
        <v>22</v>
      </c>
      <c r="D25" t="s">
        <v>61</v>
      </c>
      <c r="E25">
        <v>62000000</v>
      </c>
      <c r="F25" t="s">
        <v>92</v>
      </c>
      <c r="G25" s="1">
        <v>27</v>
      </c>
    </row>
    <row r="26" spans="1:7" x14ac:dyDescent="0.35">
      <c r="A26" t="s">
        <v>16</v>
      </c>
      <c r="B26" t="s">
        <v>46</v>
      </c>
      <c r="C26" t="s">
        <v>3</v>
      </c>
      <c r="D26" t="s">
        <v>57</v>
      </c>
      <c r="E26">
        <v>0</v>
      </c>
      <c r="F26" t="s">
        <v>77</v>
      </c>
      <c r="G26" s="1">
        <v>16</v>
      </c>
    </row>
    <row r="27" spans="1:7" x14ac:dyDescent="0.35">
      <c r="A27" t="s">
        <v>16</v>
      </c>
      <c r="B27" t="s">
        <v>23</v>
      </c>
      <c r="C27" t="s">
        <v>24</v>
      </c>
      <c r="D27" t="s">
        <v>65</v>
      </c>
      <c r="E27">
        <v>17600000</v>
      </c>
      <c r="F27" t="s">
        <v>93</v>
      </c>
      <c r="G27" s="1">
        <v>26</v>
      </c>
    </row>
    <row r="28" spans="1:7" x14ac:dyDescent="0.35">
      <c r="A28" t="s">
        <v>16</v>
      </c>
      <c r="B28" t="s">
        <v>25</v>
      </c>
      <c r="C28" t="s">
        <v>26</v>
      </c>
      <c r="D28" t="s">
        <v>66</v>
      </c>
      <c r="E28">
        <v>29900000</v>
      </c>
      <c r="F28" t="s">
        <v>94</v>
      </c>
      <c r="G28" s="1">
        <v>26</v>
      </c>
    </row>
    <row r="29" spans="1:7" x14ac:dyDescent="0.35">
      <c r="A29" t="s">
        <v>16</v>
      </c>
      <c r="B29" t="s">
        <v>47</v>
      </c>
      <c r="C29" t="s">
        <v>3</v>
      </c>
      <c r="D29" t="s">
        <v>57</v>
      </c>
      <c r="E29">
        <v>0</v>
      </c>
      <c r="F29" t="s">
        <v>77</v>
      </c>
      <c r="G29" s="1">
        <v>19</v>
      </c>
    </row>
    <row r="30" spans="1:7" x14ac:dyDescent="0.35">
      <c r="A30" t="s">
        <v>16</v>
      </c>
      <c r="B30" t="s">
        <v>48</v>
      </c>
      <c r="C30" t="s">
        <v>3</v>
      </c>
      <c r="D30" t="s">
        <v>57</v>
      </c>
      <c r="E30">
        <v>0</v>
      </c>
      <c r="F30" t="s">
        <v>77</v>
      </c>
      <c r="G30" s="1">
        <v>26</v>
      </c>
    </row>
    <row r="31" spans="1:7" x14ac:dyDescent="0.35">
      <c r="A31" t="s">
        <v>16</v>
      </c>
      <c r="B31" t="s">
        <v>49</v>
      </c>
      <c r="C31" t="s">
        <v>27</v>
      </c>
      <c r="D31" t="s">
        <v>59</v>
      </c>
      <c r="E31">
        <v>0</v>
      </c>
      <c r="F31" t="s">
        <v>77</v>
      </c>
      <c r="G31" s="1">
        <v>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A3333-D71A-49B4-962F-0BF1B31F2F54}">
  <dimension ref="N1:AI54"/>
  <sheetViews>
    <sheetView showGridLines="0" tabSelected="1" topLeftCell="G22" zoomScale="66" zoomScaleNormal="33" workbookViewId="0">
      <selection activeCell="G29" sqref="G29"/>
    </sheetView>
  </sheetViews>
  <sheetFormatPr defaultRowHeight="14.5" x14ac:dyDescent="0.35"/>
  <sheetData>
    <row r="1" spans="14:21" x14ac:dyDescent="0.35">
      <c r="U1" s="11" t="s">
        <v>101</v>
      </c>
    </row>
    <row r="2" spans="14:21" x14ac:dyDescent="0.35">
      <c r="U2" s="11"/>
    </row>
    <row r="3" spans="14:21" x14ac:dyDescent="0.35">
      <c r="U3" s="11"/>
    </row>
    <row r="4" spans="14:21" ht="19" x14ac:dyDescent="0.35">
      <c r="N4" s="10"/>
    </row>
    <row r="54" spans="35:35" ht="23.5" x14ac:dyDescent="0.55000000000000004">
      <c r="AI54" s="12"/>
    </row>
  </sheetData>
  <hyperlinks>
    <hyperlink ref="U1" r:id="rId1" xr:uid="{4EE23E02-B614-4D28-9555-E9D8C9E860BA}"/>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4BAB2-B773-4FF0-A0B0-F361B9FD0ABE}">
  <dimension ref="A1:B16"/>
  <sheetViews>
    <sheetView workbookViewId="0"/>
  </sheetViews>
  <sheetFormatPr defaultRowHeight="14.5" x14ac:dyDescent="0.35"/>
  <sheetData>
    <row r="1" spans="1:2" x14ac:dyDescent="0.35">
      <c r="A1" t="s">
        <v>54</v>
      </c>
      <c r="B1" t="s">
        <v>55</v>
      </c>
    </row>
    <row r="2" spans="1:2" x14ac:dyDescent="0.35">
      <c r="A2" t="s">
        <v>20</v>
      </c>
      <c r="B2" t="s">
        <v>51</v>
      </c>
    </row>
    <row r="3" spans="1:2" x14ac:dyDescent="0.35">
      <c r="A3" t="s">
        <v>7</v>
      </c>
      <c r="B3" t="s">
        <v>52</v>
      </c>
    </row>
    <row r="4" spans="1:2" x14ac:dyDescent="0.35">
      <c r="A4" t="s">
        <v>14</v>
      </c>
      <c r="B4" t="s">
        <v>53</v>
      </c>
    </row>
    <row r="5" spans="1:2" x14ac:dyDescent="0.35">
      <c r="A5" t="s">
        <v>6</v>
      </c>
      <c r="B5" t="s">
        <v>56</v>
      </c>
    </row>
    <row r="6" spans="1:2" x14ac:dyDescent="0.35">
      <c r="A6" t="s">
        <v>3</v>
      </c>
      <c r="B6" t="s">
        <v>57</v>
      </c>
    </row>
    <row r="7" spans="1:2" x14ac:dyDescent="0.35">
      <c r="A7" t="s">
        <v>1</v>
      </c>
      <c r="B7" t="s">
        <v>58</v>
      </c>
    </row>
    <row r="8" spans="1:2" x14ac:dyDescent="0.35">
      <c r="A8" t="s">
        <v>27</v>
      </c>
      <c r="B8" t="s">
        <v>59</v>
      </c>
    </row>
    <row r="9" spans="1:2" x14ac:dyDescent="0.35">
      <c r="A9" t="s">
        <v>5</v>
      </c>
      <c r="B9" t="s">
        <v>60</v>
      </c>
    </row>
    <row r="10" spans="1:2" x14ac:dyDescent="0.35">
      <c r="A10" t="s">
        <v>22</v>
      </c>
      <c r="B10" t="s">
        <v>61</v>
      </c>
    </row>
    <row r="11" spans="1:2" x14ac:dyDescent="0.35">
      <c r="A11" t="s">
        <v>11</v>
      </c>
      <c r="B11" t="s">
        <v>62</v>
      </c>
    </row>
    <row r="12" spans="1:2" x14ac:dyDescent="0.35">
      <c r="A12" t="s">
        <v>9</v>
      </c>
      <c r="B12" t="s">
        <v>63</v>
      </c>
    </row>
    <row r="13" spans="1:2" x14ac:dyDescent="0.35">
      <c r="A13" t="s">
        <v>13</v>
      </c>
      <c r="B13" t="s">
        <v>64</v>
      </c>
    </row>
    <row r="14" spans="1:2" x14ac:dyDescent="0.35">
      <c r="A14" t="s">
        <v>24</v>
      </c>
      <c r="B14" t="s">
        <v>65</v>
      </c>
    </row>
    <row r="15" spans="1:2" x14ac:dyDescent="0.35">
      <c r="A15" t="s">
        <v>26</v>
      </c>
      <c r="B15" t="s">
        <v>66</v>
      </c>
    </row>
    <row r="16" spans="1:2" x14ac:dyDescent="0.35">
      <c r="A16" t="s">
        <v>18</v>
      </c>
      <c r="B16" t="s">
        <v>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BEE521-FC58-4B6D-9FA5-85976F7061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Arsenal Transfers </vt:lpstr>
      <vt:lpstr>Dashboard</vt:lpstr>
      <vt:lpstr>FIFA Country 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 naii</dc:creator>
  <cp:lastModifiedBy>Nai naii</cp:lastModifiedBy>
  <dcterms:created xsi:type="dcterms:W3CDTF">2026-07-31T08:34:57Z</dcterms:created>
  <dcterms:modified xsi:type="dcterms:W3CDTF">2026-07-31T22:44:53Z</dcterms:modified>
</cp:coreProperties>
</file>